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rème" sheetId="2" state="visible" r:id="rId4"/>
    <sheet name="Cas de test" sheetId="3" state="visible" r:id="rId5"/>
    <sheet name="Rubriqu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<sst xmlns="http://schemas.openxmlformats.org/spreadsheetml/2006/main" count="330" uniqueCount="184">
  <si>
    <t xml:space="preserve">Barème étoilé — medical.sylow.co</t>
  </si>
  <si>
    <t xml:space="preserve">Aligné sur Sylow_trame_scoring_etoiles.md (source de vérité) · éditable par le médecin conseil</t>
  </si>
  <si>
    <t xml:space="preserve">Principe (trame §1)</t>
  </si>
  <si>
    <t xml:space="preserve">5★ = aucun signal · 1★ = signal de santé marqué. Score jamais montré à l'assuré (rapport médecin uniquement).</t>
  </si>
  <si>
    <t xml:space="preserve">Paliers de tolérance pour indicateurs chiffrés (trame §1.1) — seuil normal T :</t>
  </si>
  <si>
    <t xml:space="preserve">   5★ : valeur ≤ T×1,15     4★ : ≤ T×1,30     3★ : ≤ T×1,50     2★ : ≤ T×1,75     1★ : &gt; T×1,75</t>
  </si>
  <si>
    <t xml:space="preserve">   Les colonnes 5★→2★ ci-dessous contiennent la VALEUR MAX de chaque palier (déjà calculée depuis T).</t>
  </si>
  <si>
    <t xml:space="preserve">   Exemple IMC (T=30) : 34,5 / 39 / 45 / 52,5.</t>
  </si>
  <si>
    <t xml:space="preserve">Indicateurs binaires / qualitatifs (trame §1.2) : grille dédiée. NON=5★ par défaut ; chaque palier de</t>
  </si>
  <si>
    <t xml:space="preserve">   gravité abaisse la note (colonnes de modalités renseignées au cas par cas).</t>
  </si>
  <si>
    <t xml:space="preserve">Agrégation (trame §1.3 et §1.4)</t>
  </si>
  <si>
    <t xml:space="preserve">   Note d'une thématique = note la plus basse de ses indicateurs (maillon faible).</t>
  </si>
  <si>
    <t xml:space="preserve">   Score global = (produit des notes de thématiques)^(1/n) = moyenne géométrique, arrondi 0,5★.</t>
  </si>
  <si>
    <t xml:space="preserve">Mettre à jour : modifier T (col. « Seuil T »), les modalités, « OUI = » et « Notes ». Les colonnes 5★→2★</t>
  </si>
  <si>
    <t xml:space="preserve">   des indicateurs chiffrés se recalculent depuis T. Jaune = à valider par le médecin conseil.</t>
  </si>
  <si>
    <t xml:space="preserve">   Saisir une « valeur test » pour voir le nombre d'étoiles calculé. Ce fichier est la source importée par l'app.</t>
  </si>
  <si>
    <t xml:space="preserve">Points à valider (trame §5) : choix note minimale vs moyenne pondérée ; moyenne géométrique globale ;</t>
  </si>
  <si>
    <t xml:space="preserve">   grilles binaires (ex. invalidité=1★ est une proposition) ; reformulations langage simple ; poids des</t>
  </si>
  <si>
    <t xml:space="preserve">   thématiques Niveau 2/3 vs Niveau 1.</t>
  </si>
  <si>
    <t xml:space="preserve">Barème étoilé par question</t>
  </si>
  <si>
    <t xml:space="preserve">Indicateurs chiffrés : renseigner « Seuil T », les paliers se calculent. Binaires/fréquence : renseigner les modalités.</t>
  </si>
  <si>
    <t xml:space="preserve">ID question</t>
  </si>
  <si>
    <t xml:space="preserve">Thématique</t>
  </si>
  <si>
    <t xml:space="preserve">Libellé (langage client)</t>
  </si>
  <si>
    <t xml:space="preserve">Type</t>
  </si>
  <si>
    <t xml:space="preserve">Unité / sens</t>
  </si>
  <si>
    <t xml:space="preserve">Seuil T</t>
  </si>
  <si>
    <t xml:space="preserve">5★ (≤)</t>
  </si>
  <si>
    <t xml:space="preserve">4★ (≤)</t>
  </si>
  <si>
    <t xml:space="preserve">3★ (≤)</t>
  </si>
  <si>
    <t xml:space="preserve">2★ (≤)</t>
  </si>
  <si>
    <t xml:space="preserve">OUI =</t>
  </si>
  <si>
    <t xml:space="preserve">Modalités → ★</t>
  </si>
  <si>
    <t xml:space="preserve">À valider</t>
  </si>
  <si>
    <t xml:space="preserve">Valeur test</t>
  </si>
  <si>
    <t xml:space="preserve">Étoiles (test)</t>
  </si>
  <si>
    <t xml:space="preserve">Notes</t>
  </si>
  <si>
    <t xml:space="preserve">N1_IMC</t>
  </si>
  <si>
    <t xml:space="preserve">Poids et silhouette</t>
  </si>
  <si>
    <t xml:space="preserve">Votre taille et votre poids (IMC)</t>
  </si>
  <si>
    <t xml:space="preserve">haut</t>
  </si>
  <si>
    <t xml:space="preserve">IMC kg/m² (haut défavorable)</t>
  </si>
  <si>
    <t xml:space="preserve">Oui</t>
  </si>
  <si>
    <t xml:space="preserve">T=30 (repère OMS obésité). 5★≤34,5. Versant maigreur à traiter à part.</t>
  </si>
  <si>
    <t xml:space="preserve">N1_TA_SYS</t>
  </si>
  <si>
    <t xml:space="preserve">Tension artérielle</t>
  </si>
  <si>
    <t xml:space="preserve">Tension habituelle — systolique</t>
  </si>
  <si>
    <t xml:space="preserve">mmHg (haut défavorable)</t>
  </si>
  <si>
    <t xml:space="preserve">T=140. Cas test : 138&lt;140 → 5★.</t>
  </si>
  <si>
    <t xml:space="preserve">N1_TA_DIA</t>
  </si>
  <si>
    <t xml:space="preserve">Tension habituelle — diastolique</t>
  </si>
  <si>
    <t xml:space="preserve">T=90. Cas test : 88&lt;90 → 5★.</t>
  </si>
  <si>
    <t xml:space="preserve">N1_TABAC</t>
  </si>
  <si>
    <t xml:space="preserve">Tabac</t>
  </si>
  <si>
    <t xml:space="preserve">Combien de cigarettes par jour ?</t>
  </si>
  <si>
    <t xml:space="preserve">freqnum</t>
  </si>
  <si>
    <t xml:space="preserve">cig/jour</t>
  </si>
  <si>
    <t xml:space="preserve">grille numérique (voir Notes)</t>
  </si>
  <si>
    <t xml:space="preserve">Grille trame §2.3 : 0=5★ · 1-9=4★ · 10-19=3★ · 20-29=2★ · ≥30=1★.</t>
  </si>
  <si>
    <t xml:space="preserve">N1_ALCOOL</t>
  </si>
  <si>
    <t xml:space="preserve">Alcool et autres consommations</t>
  </si>
  <si>
    <t xml:space="preserve">Combien de verres d'alcool par semaine ?</t>
  </si>
  <si>
    <t xml:space="preserve">verres/semaine</t>
  </si>
  <si>
    <t xml:space="preserve">Grille trame §2.4 : ≤16=5★ · 17-24=4★ · 25-34=3★ · 35-49=2★ · ≥50=1★ (seuil adapté selon sexe).</t>
  </si>
  <si>
    <t xml:space="preserve">N1_SUBST</t>
  </si>
  <si>
    <t xml:space="preserve">Autres substances (cannabis, autres) ?</t>
  </si>
  <si>
    <t xml:space="preserve">freq</t>
  </si>
  <si>
    <t xml:space="preserve">Non/Occasionnel/Régulier</t>
  </si>
  <si>
    <t xml:space="preserve">Non</t>
  </si>
  <si>
    <t xml:space="preserve">Non=5★ · Occasionnel=3★ · Régulier=1★.</t>
  </si>
  <si>
    <t xml:space="preserve">N1_SPORT</t>
  </si>
  <si>
    <t xml:space="preserve">Activité physique et loisirs</t>
  </si>
  <si>
    <t xml:space="preserve">Sport à risque / compétition ?</t>
  </si>
  <si>
    <t xml:space="preserve">Aucun/Loisir/Intensif/Extrême</t>
  </si>
  <si>
    <t xml:space="preserve">Loisir</t>
  </si>
  <si>
    <t xml:space="preserve">Aucun risque=5★ · loisir régulier=4★ · intensif/compétition=3★ · extrême régulier=2★.</t>
  </si>
  <si>
    <t xml:space="preserve">N1_VOYAGE</t>
  </si>
  <si>
    <t xml:space="preserve">Voyages et environnement</t>
  </si>
  <si>
    <t xml:space="preserve">Séjour &gt;3 mois hors zone de référence ?</t>
  </si>
  <si>
    <t xml:space="preserve">Non/Touristique/Prolongé</t>
  </si>
  <si>
    <t xml:space="preserve">Non=5★ · touristique=4★ · prolongé/zone à risque=3★.</t>
  </si>
  <si>
    <t xml:space="preserve">N1_ARRET_DUREE</t>
  </si>
  <si>
    <t xml:space="preserve">Vie professionnelle et arrêts</t>
  </si>
  <si>
    <t xml:space="preserve">Arrêt de travail le plus long (5 ans) ?</t>
  </si>
  <si>
    <t xml:space="preserve">jours (haut défavorable)</t>
  </si>
  <si>
    <t xml:space="preserve">T=21 jours. Cas test : 10≤24 → 5★.</t>
  </si>
  <si>
    <t xml:space="preserve">N1_ARRET_COURS</t>
  </si>
  <si>
    <t xml:space="preserve">Êtes-vous en arrêt de travail actuellement ?</t>
  </si>
  <si>
    <t xml:space="preserve">bin</t>
  </si>
  <si>
    <t xml:space="preserve">Oui/Non</t>
  </si>
  <si>
    <t xml:space="preserve">3</t>
  </si>
  <si>
    <t xml:space="preserve">Non=5★ · Oui=3★.</t>
  </si>
  <si>
    <t xml:space="preserve">N1_INVAL</t>
  </si>
  <si>
    <t xml:space="preserve">Pension / rente / allocation handicap ?</t>
  </si>
  <si>
    <t xml:space="preserve">1</t>
  </si>
  <si>
    <t xml:space="preserve">Non=5★ · Oui=1★ (proposition, pas règle actuarielle).</t>
  </si>
  <si>
    <t xml:space="preserve">N1_REFUS</t>
  </si>
  <si>
    <t xml:space="preserve">Refus / ajournement / majoration déjà subi ?</t>
  </si>
  <si>
    <t xml:space="preserve">2</t>
  </si>
  <si>
    <t xml:space="preserve">Non=5★ · Oui=2★.</t>
  </si>
  <si>
    <t xml:space="preserve">N1_ALD100</t>
  </si>
  <si>
    <t xml:space="preserve">Suivi médical récent</t>
  </si>
  <si>
    <t xml:space="preserve">Prise en charge à 100 % (ALD) ?</t>
  </si>
  <si>
    <t xml:space="preserve">N1_EXAM_PREV</t>
  </si>
  <si>
    <t xml:space="preserve">Examen / hospitalisation prévu (6 mois) ?</t>
  </si>
  <si>
    <t xml:space="preserve">4</t>
  </si>
  <si>
    <t xml:space="preserve">Non=5★ · Oui=4★.</t>
  </si>
  <si>
    <t xml:space="preserve">N2_INFECT</t>
  </si>
  <si>
    <t xml:space="preserve">Infections</t>
  </si>
  <si>
    <t xml:space="preserve">Infection sévère/longue (tuberculose, VIH, IST…) ?</t>
  </si>
  <si>
    <t xml:space="preserve">NON=5★. Sévérité affinée niveau 3.</t>
  </si>
  <si>
    <t xml:space="preserve">N2_ENDOC</t>
  </si>
  <si>
    <t xml:space="preserve">Diabète, cholestérol, thyroïde</t>
  </si>
  <si>
    <t xml:space="preserve">Diabète, cholestérol élevé, thyroïde, goutte ?</t>
  </si>
  <si>
    <t xml:space="preserve">NON=5★.</t>
  </si>
  <si>
    <t xml:space="preserve">N2_SANG</t>
  </si>
  <si>
    <t xml:space="preserve">Sang</t>
  </si>
  <si>
    <t xml:space="preserve">Anémie, coagulation, maladie du sang ?</t>
  </si>
  <si>
    <t xml:space="preserve">N2_PSY</t>
  </si>
  <si>
    <t xml:space="preserve">Moral et santé mentale</t>
  </si>
  <si>
    <t xml:space="preserve">Anxiété, dépression, troubles de l'humeur ?</t>
  </si>
  <si>
    <t xml:space="preserve">NON=5★. SENSIBLE : ton neutre, pas de gamification.</t>
  </si>
  <si>
    <t xml:space="preserve">N2_NEURO</t>
  </si>
  <si>
    <t xml:space="preserve">Cerveau et système nerveux</t>
  </si>
  <si>
    <t xml:space="preserve">AVC, épilepsie, SEP, paralysie ?</t>
  </si>
  <si>
    <t xml:space="preserve">N2_ORL_OPH</t>
  </si>
  <si>
    <t xml:space="preserve">Oreilles, nez, gorge, yeux</t>
  </si>
  <si>
    <t xml:space="preserve">Surdité, vertiges, vue (cataracte, glaucome) ?</t>
  </si>
  <si>
    <t xml:space="preserve">NON=5★. Souvent bénin.</t>
  </si>
  <si>
    <t xml:space="preserve">N2_CARDIO</t>
  </si>
  <si>
    <t xml:space="preserve">Cœur et circulation</t>
  </si>
  <si>
    <t xml:space="preserve">Souffle, tension, infarctus, rythme irrégulier ?</t>
  </si>
  <si>
    <t xml:space="preserve">NON=5★. Cas test : coché mais aucun seuil interne → 5★.</t>
  </si>
  <si>
    <t xml:space="preserve">N2_RESP</t>
  </si>
  <si>
    <t xml:space="preserve">Respiration</t>
  </si>
  <si>
    <t xml:space="preserve">Bronchite chronique, asthme, apnée du sommeil ?</t>
  </si>
  <si>
    <t xml:space="preserve">N2_DIGEST</t>
  </si>
  <si>
    <t xml:space="preserve">Digestion</t>
  </si>
  <si>
    <t xml:space="preserve">Estomac, foie, hépatite, MICI ?</t>
  </si>
  <si>
    <t xml:space="preserve">N2_URO</t>
  </si>
  <si>
    <t xml:space="preserve">Reins et voies urinaires</t>
  </si>
  <si>
    <t xml:space="preserve">Calculs, protéinurie, prostate ?</t>
  </si>
  <si>
    <t xml:space="preserve">N2_PEAU</t>
  </si>
  <si>
    <t xml:space="preserve">Peau</t>
  </si>
  <si>
    <t xml:space="preserve">Eczéma, psoriasis, grain de beauté suspect ?</t>
  </si>
  <si>
    <t xml:space="preserve">NON=5★. Généralement bénin.</t>
  </si>
  <si>
    <t xml:space="preserve">N2_OSTEO</t>
  </si>
  <si>
    <t xml:space="preserve">Os, articulations et dos</t>
  </si>
  <si>
    <t xml:space="preserve">Arthrose, hernie discale, dos chronique ?</t>
  </si>
  <si>
    <t xml:space="preserve">N2_CANCER</t>
  </si>
  <si>
    <t xml:space="preserve">Cancer</t>
  </si>
  <si>
    <t xml:space="preserve">Une tumeur ou un cancer, quel qu'il soit ?</t>
  </si>
  <si>
    <t xml:space="preserve">NON=5★. Voir droit à l'oubli AERAS.</t>
  </si>
  <si>
    <t xml:space="preserve">Cas de test — client fictif (trame §4.2)</t>
  </si>
  <si>
    <t xml:space="preserve">Résultat attendu : score global (500000)^(1/9) ≈ 4,79 → arrondi ★★★★★. À câbler en test unitaire.</t>
  </si>
  <si>
    <t xml:space="preserve">Valeur saisie</t>
  </si>
  <si>
    <t xml:space="preserve">Note attendue</t>
  </si>
  <si>
    <t xml:space="preserve">IMC 33 (≤34,5)</t>
  </si>
  <si>
    <t xml:space="preserve">138/88 (&lt;140/90)</t>
  </si>
  <si>
    <t xml:space="preserve">5 cig/j (1-9)</t>
  </si>
  <si>
    <t xml:space="preserve">6 verres/sem (≤16)</t>
  </si>
  <si>
    <t xml:space="preserve">loisir régulier</t>
  </si>
  <si>
    <t xml:space="preserve">non concerné</t>
  </si>
  <si>
    <t xml:space="preserve">10 jours (≤24)</t>
  </si>
  <si>
    <t xml:space="preserve">rien à signaler</t>
  </si>
  <si>
    <t xml:space="preserve">Cœur et circulation (approfondi)</t>
  </si>
  <si>
    <t xml:space="preserve">aucun seuil interne dépassé</t>
  </si>
  <si>
    <t xml:space="preserve">Produit des notes</t>
  </si>
  <si>
    <t xml:space="preserve">Score global = produit^(1/9)</t>
  </si>
  <si>
    <t xml:space="preserve">Calcul exact = 4,76 → ★★★★★  (NB : la trame écrit 500000/4,79 ; le produit réel de ses notes est 1250000/4,76 — écart arithmétique à confirmer)</t>
  </si>
  <si>
    <t xml:space="preserve">Thématiques &amp; agrégation</t>
  </si>
  <si>
    <t xml:space="preserve">Note thématique = MIN des indicateurs · Score global = moyenne géométrique des thématiques</t>
  </si>
  <si>
    <t xml:space="preserve">Indicateurs (IDs)</t>
  </si>
  <si>
    <t xml:space="preserve">Règle</t>
  </si>
  <si>
    <t xml:space="preserve">MIN</t>
  </si>
  <si>
    <t xml:space="preserve">N1_TA_SYS, N1_TA_DIA</t>
  </si>
  <si>
    <t xml:space="preserve">N1_ALCOOL, N1_SUBST</t>
  </si>
  <si>
    <t xml:space="preserve">N1_ARRET_DUREE, N1_ARRET_COURS, N1_INVAL, N1_REFUS</t>
  </si>
  <si>
    <t xml:space="preserve">N1_ALD100, N1_EXAM_PREV</t>
  </si>
  <si>
    <t xml:space="preserve">Thématiques additionnelles Niveau 2/3</t>
  </si>
  <si>
    <t xml:space="preserve">N2_* selon systèmes déclarés</t>
  </si>
  <si>
    <t xml:space="preserve">MIN (une par système)</t>
  </si>
  <si>
    <t xml:space="preserve">Score global</t>
  </si>
  <si>
    <t xml:space="preserve">(produit des notes de thématiques)^(1/n), arrondi 0,5★ — calculé par l'app.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</si>
</sst>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A2E5C"/>
      <name val="Arial"/>
      <family val="0"/>
      <charset val="1"/>
    </font>
    <font>
      <sz val="10"/>
      <color rgb="FF5B647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1C2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2E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7E3DA"/>
      </left>
      <right style="thin">
        <color rgb="FFE7E3DA"/>
      </right>
      <top style="thin">
        <color rgb="FFE7E3DA"/>
      </top>
      <bottom style="thin">
        <color rgb="FFE7E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3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A2E5C"/>
      <rgbColor rgb="FF339966"/>
      <rgbColor rgb="FF003300"/>
      <rgbColor rgb="FF333300"/>
      <rgbColor rgb="FFCC1C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5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/>
    </row>
    <row r="20" customFormat="false" ht="15" hidden="false" customHeight="true" outlineLevel="0" collapsed="false">
      <c r="A20" s="5" t="s">
        <v>13</v>
      </c>
    </row>
    <row r="21" customFormat="false" ht="15" hidden="false" customHeight="true" outlineLevel="0" collapsed="false">
      <c r="A21" s="4" t="s">
        <v>14</v>
      </c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5" t="s">
        <v>16</v>
      </c>
    </row>
    <row r="25" customFormat="false" ht="15" hidden="false" customHeight="true" outlineLevel="0" collapsed="false">
      <c r="A25" s="4" t="s">
        <v>17</v>
      </c>
    </row>
    <row r="26" customFormat="false" ht="15" hidden="false" customHeight="true" outlineLevel="0" collapsed="false">
      <c r="A2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9"/>
    <col collapsed="false" customWidth="true" hidden="false" outlineLevel="0" max="5" min="5" style="1" width="24"/>
    <col collapsed="false" customWidth="true" hidden="false" outlineLevel="0" max="10" min="6" style="1" width="8"/>
    <col collapsed="false" customWidth="true" hidden="false" outlineLevel="0" max="11" min="11" style="1" width="7"/>
    <col collapsed="false" customWidth="true" hidden="false" outlineLevel="0" max="12" min="12" style="1" width="2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5" min="15" style="1" width="13"/>
    <col collapsed="false" customWidth="true" hidden="false" outlineLevel="0" max="16" min="16" style="1" width="46"/>
  </cols>
  <sheetData>
    <row r="1" customFormat="false" ht="18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3" customFormat="false" ht="15" hidden="false" customHeight="tru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6" t="s">
        <v>36</v>
      </c>
    </row>
    <row r="4" customFormat="false" ht="23.25" hidden="false" customHeight="true" outlineLevel="0" collapsed="false">
      <c r="A4" s="7" t="s">
        <v>37</v>
      </c>
      <c r="B4" s="7" t="s">
        <v>38</v>
      </c>
      <c r="C4" s="8" t="s">
        <v>39</v>
      </c>
      <c r="D4" s="7" t="s">
        <v>40</v>
      </c>
      <c r="E4" s="8" t="s">
        <v>41</v>
      </c>
      <c r="F4" s="9" t="n">
        <v>30</v>
      </c>
      <c r="G4" s="10" t="n">
        <f aca="false">ROUND(F4*1.15,1)</f>
        <v>34.5</v>
      </c>
      <c r="H4" s="10" t="n">
        <f aca="false">ROUND(F4*1.3,1)</f>
        <v>39</v>
      </c>
      <c r="I4" s="10" t="n">
        <f aca="false">ROUND(F4*1.5,1)</f>
        <v>45</v>
      </c>
      <c r="J4" s="10" t="n">
        <f aca="false">ROUND(F4*1.75,1)</f>
        <v>52.5</v>
      </c>
      <c r="K4" s="11"/>
      <c r="L4" s="8"/>
      <c r="M4" s="12" t="s">
        <v>42</v>
      </c>
      <c r="N4" s="13" t="n">
        <v>33</v>
      </c>
      <c r="O4" s="14" t="n">
        <f aca="false">IF(N4="","",IF(N4&lt;=G4,5,IF(N4&lt;=H4,4,IF(N4&lt;=I4,3,IF(N4&lt;=J4,2,1)))))</f>
        <v>5</v>
      </c>
      <c r="P4" s="8" t="s">
        <v>43</v>
      </c>
    </row>
    <row r="5" customFormat="false" ht="15" hidden="false" customHeight="true" outlineLevel="0" collapsed="false">
      <c r="A5" s="7" t="s">
        <v>44</v>
      </c>
      <c r="B5" s="7" t="s">
        <v>45</v>
      </c>
      <c r="C5" s="8" t="s">
        <v>46</v>
      </c>
      <c r="D5" s="7" t="s">
        <v>40</v>
      </c>
      <c r="E5" s="8" t="s">
        <v>47</v>
      </c>
      <c r="F5" s="9" t="n">
        <v>140</v>
      </c>
      <c r="G5" s="10" t="n">
        <f aca="false">ROUND(F5*1.15,1)</f>
        <v>161</v>
      </c>
      <c r="H5" s="10" t="n">
        <f aca="false">ROUND(F5*1.3,1)</f>
        <v>182</v>
      </c>
      <c r="I5" s="10" t="n">
        <f aca="false">ROUND(F5*1.5,1)</f>
        <v>210</v>
      </c>
      <c r="J5" s="10" t="n">
        <f aca="false">ROUND(F5*1.75,1)</f>
        <v>245</v>
      </c>
      <c r="K5" s="11"/>
      <c r="L5" s="8"/>
      <c r="M5" s="12" t="s">
        <v>42</v>
      </c>
      <c r="N5" s="13" t="n">
        <v>138</v>
      </c>
      <c r="O5" s="14" t="n">
        <f aca="false">IF(N5="","",IF(N5&lt;=G5,5,IF(N5&lt;=H5,4,IF(N5&lt;=I5,3,IF(N5&lt;=J5,2,1)))))</f>
        <v>5</v>
      </c>
      <c r="P5" s="8" t="s">
        <v>48</v>
      </c>
    </row>
    <row r="6" customFormat="false" ht="15" hidden="false" customHeight="true" outlineLevel="0" collapsed="false">
      <c r="A6" s="7" t="s">
        <v>49</v>
      </c>
      <c r="B6" s="7" t="s">
        <v>45</v>
      </c>
      <c r="C6" s="8" t="s">
        <v>50</v>
      </c>
      <c r="D6" s="7" t="s">
        <v>40</v>
      </c>
      <c r="E6" s="8" t="s">
        <v>47</v>
      </c>
      <c r="F6" s="9" t="n">
        <v>90</v>
      </c>
      <c r="G6" s="10" t="n">
        <f aca="false">ROUND(F6*1.15,1)</f>
        <v>103.5</v>
      </c>
      <c r="H6" s="10" t="n">
        <f aca="false">ROUND(F6*1.3,1)</f>
        <v>117</v>
      </c>
      <c r="I6" s="10" t="n">
        <f aca="false">ROUND(F6*1.5,1)</f>
        <v>135</v>
      </c>
      <c r="J6" s="10" t="n">
        <f aca="false">ROUND(F6*1.75,1)</f>
        <v>157.5</v>
      </c>
      <c r="K6" s="11"/>
      <c r="L6" s="8"/>
      <c r="M6" s="12" t="s">
        <v>42</v>
      </c>
      <c r="N6" s="13" t="n">
        <v>88</v>
      </c>
      <c r="O6" s="14" t="n">
        <f aca="false">IF(N6="","",IF(N6&lt;=G6,5,IF(N6&lt;=H6,4,IF(N6&lt;=I6,3,IF(N6&lt;=J6,2,1)))))</f>
        <v>5</v>
      </c>
      <c r="P6" s="8" t="s">
        <v>51</v>
      </c>
    </row>
    <row r="7" customFormat="false" ht="23.25" hidden="false" customHeight="true" outlineLevel="0" collapsed="false">
      <c r="A7" s="7" t="s">
        <v>52</v>
      </c>
      <c r="B7" s="7" t="s">
        <v>53</v>
      </c>
      <c r="C7" s="8" t="s">
        <v>54</v>
      </c>
      <c r="D7" s="7" t="s">
        <v>55</v>
      </c>
      <c r="E7" s="8" t="s">
        <v>56</v>
      </c>
      <c r="F7" s="7"/>
      <c r="G7" s="10"/>
      <c r="H7" s="10"/>
      <c r="I7" s="10"/>
      <c r="J7" s="10"/>
      <c r="K7" s="11"/>
      <c r="L7" s="8" t="s">
        <v>57</v>
      </c>
      <c r="M7" s="12" t="s">
        <v>42</v>
      </c>
      <c r="N7" s="13" t="n">
        <v>5</v>
      </c>
      <c r="O7" s="14" t="n">
        <f aca="false">IF(N7="","",IF(N7=0,5,IF(N7&lt;=9,4,IF(N7&lt;=19,3,IF(N7&lt;=29,2,1)))))</f>
        <v>4</v>
      </c>
      <c r="P7" s="8" t="s">
        <v>58</v>
      </c>
    </row>
    <row r="8" customFormat="false" ht="23.25" hidden="false" customHeight="true" outlineLevel="0" collapsed="false">
      <c r="A8" s="7" t="s">
        <v>59</v>
      </c>
      <c r="B8" s="7" t="s">
        <v>60</v>
      </c>
      <c r="C8" s="8" t="s">
        <v>61</v>
      </c>
      <c r="D8" s="7" t="s">
        <v>55</v>
      </c>
      <c r="E8" s="8" t="s">
        <v>62</v>
      </c>
      <c r="F8" s="7"/>
      <c r="G8" s="10"/>
      <c r="H8" s="10"/>
      <c r="I8" s="10"/>
      <c r="J8" s="10"/>
      <c r="K8" s="11"/>
      <c r="L8" s="8" t="s">
        <v>57</v>
      </c>
      <c r="M8" s="12" t="s">
        <v>42</v>
      </c>
      <c r="N8" s="13" t="n">
        <v>6</v>
      </c>
      <c r="O8" s="14" t="n">
        <f aca="false">IF(N8="","",IF(N8&lt;=16,5,IF(N8&lt;=24,4,IF(N8&lt;=34,3,IF(N8&lt;=49,2,1)))))</f>
        <v>5</v>
      </c>
      <c r="P8" s="8" t="s">
        <v>63</v>
      </c>
    </row>
    <row r="9" customFormat="false" ht="15" hidden="false" customHeight="true" outlineLevel="0" collapsed="false">
      <c r="A9" s="7" t="s">
        <v>64</v>
      </c>
      <c r="B9" s="7" t="s">
        <v>60</v>
      </c>
      <c r="C9" s="8" t="s">
        <v>65</v>
      </c>
      <c r="D9" s="7" t="s">
        <v>66</v>
      </c>
      <c r="E9" s="8" t="s">
        <v>67</v>
      </c>
      <c r="F9" s="7"/>
      <c r="G9" s="10"/>
      <c r="H9" s="10"/>
      <c r="I9" s="10"/>
      <c r="J9" s="10"/>
      <c r="K9" s="11"/>
      <c r="L9" s="8" t="s">
        <v>67</v>
      </c>
      <c r="M9" s="12" t="s">
        <v>42</v>
      </c>
      <c r="N9" s="13" t="s">
        <v>68</v>
      </c>
      <c r="O9" s="14" t="n">
        <f aca="false">IF(N9="Non",5,IF(N9="Occasionnel",3,IF(N9="Régulier",1,"")))</f>
        <v>5</v>
      </c>
      <c r="P9" s="8" t="s">
        <v>69</v>
      </c>
    </row>
    <row r="10" customFormat="false" ht="23.25" hidden="false" customHeight="true" outlineLevel="0" collapsed="false">
      <c r="A10" s="7" t="s">
        <v>70</v>
      </c>
      <c r="B10" s="7" t="s">
        <v>71</v>
      </c>
      <c r="C10" s="8" t="s">
        <v>72</v>
      </c>
      <c r="D10" s="7" t="s">
        <v>66</v>
      </c>
      <c r="E10" s="8" t="s">
        <v>73</v>
      </c>
      <c r="F10" s="7"/>
      <c r="G10" s="10"/>
      <c r="H10" s="10"/>
      <c r="I10" s="10"/>
      <c r="J10" s="10"/>
      <c r="K10" s="11"/>
      <c r="L10" s="8" t="s">
        <v>73</v>
      </c>
      <c r="M10" s="12" t="s">
        <v>42</v>
      </c>
      <c r="N10" s="13" t="s">
        <v>74</v>
      </c>
      <c r="O10" s="14" t="n">
        <f aca="false">IF(N10="Aucun",5,IF(N10="Loisir",4,IF(N10="Intensif",3,IF(N10="Extrême",2,""))))</f>
        <v>4</v>
      </c>
      <c r="P10" s="8" t="s">
        <v>75</v>
      </c>
    </row>
    <row r="11" customFormat="false" ht="15" hidden="false" customHeight="true" outlineLevel="0" collapsed="false">
      <c r="A11" s="7" t="s">
        <v>76</v>
      </c>
      <c r="B11" s="7" t="s">
        <v>77</v>
      </c>
      <c r="C11" s="8" t="s">
        <v>78</v>
      </c>
      <c r="D11" s="7" t="s">
        <v>66</v>
      </c>
      <c r="E11" s="8" t="s">
        <v>79</v>
      </c>
      <c r="F11" s="7"/>
      <c r="G11" s="10"/>
      <c r="H11" s="10"/>
      <c r="I11" s="10"/>
      <c r="J11" s="10"/>
      <c r="K11" s="11"/>
      <c r="L11" s="8" t="s">
        <v>79</v>
      </c>
      <c r="M11" s="12" t="s">
        <v>42</v>
      </c>
      <c r="N11" s="13" t="s">
        <v>68</v>
      </c>
      <c r="O11" s="14" t="n">
        <f aca="false">IF(N11="Non",5,IF(N11="Touristique",4,IF(N11="Prolongé",3,"")))</f>
        <v>5</v>
      </c>
      <c r="P11" s="8" t="s">
        <v>80</v>
      </c>
    </row>
    <row r="12" customFormat="false" ht="15" hidden="false" customHeight="true" outlineLevel="0" collapsed="false">
      <c r="A12" s="7" t="s">
        <v>81</v>
      </c>
      <c r="B12" s="7" t="s">
        <v>82</v>
      </c>
      <c r="C12" s="8" t="s">
        <v>83</v>
      </c>
      <c r="D12" s="7" t="s">
        <v>40</v>
      </c>
      <c r="E12" s="8" t="s">
        <v>84</v>
      </c>
      <c r="F12" s="9" t="n">
        <v>21</v>
      </c>
      <c r="G12" s="10" t="n">
        <f aca="false">ROUND(F12*1.15,1)</f>
        <v>24.2</v>
      </c>
      <c r="H12" s="10" t="n">
        <f aca="false">ROUND(F12*1.3,1)</f>
        <v>27.3</v>
      </c>
      <c r="I12" s="10" t="n">
        <f aca="false">ROUND(F12*1.5,1)</f>
        <v>31.5</v>
      </c>
      <c r="J12" s="10" t="n">
        <f aca="false">ROUND(F12*1.75,1)</f>
        <v>36.8</v>
      </c>
      <c r="K12" s="11"/>
      <c r="L12" s="8"/>
      <c r="M12" s="12" t="s">
        <v>42</v>
      </c>
      <c r="N12" s="13" t="n">
        <v>10</v>
      </c>
      <c r="O12" s="14" t="n">
        <f aca="false">IF(N12="","",IF(N12&lt;=G12,5,IF(N12&lt;=H12,4,IF(N12&lt;=I12,3,IF(N12&lt;=J12,2,1)))))</f>
        <v>5</v>
      </c>
      <c r="P12" s="8" t="s">
        <v>85</v>
      </c>
    </row>
    <row r="13" customFormat="false" ht="15" hidden="false" customHeight="true" outlineLevel="0" collapsed="false">
      <c r="A13" s="7" t="s">
        <v>86</v>
      </c>
      <c r="B13" s="7" t="s">
        <v>82</v>
      </c>
      <c r="C13" s="8" t="s">
        <v>87</v>
      </c>
      <c r="D13" s="7" t="s">
        <v>88</v>
      </c>
      <c r="E13" s="8" t="s">
        <v>89</v>
      </c>
      <c r="F13" s="7"/>
      <c r="G13" s="10"/>
      <c r="H13" s="10"/>
      <c r="I13" s="10"/>
      <c r="J13" s="10"/>
      <c r="K13" s="12" t="s">
        <v>90</v>
      </c>
      <c r="L13" s="8"/>
      <c r="M13" s="12" t="s">
        <v>42</v>
      </c>
      <c r="N13" s="13" t="s">
        <v>68</v>
      </c>
      <c r="O13" s="14" t="n">
        <f aca="false">IF(OR(N13="",UPPER(N13)="NON"),5,IF(UPPER(N13)="OUI",K13,""))</f>
        <v>5</v>
      </c>
      <c r="P13" s="8" t="s">
        <v>91</v>
      </c>
    </row>
    <row r="14" customFormat="false" ht="15" hidden="false" customHeight="true" outlineLevel="0" collapsed="false">
      <c r="A14" s="7" t="s">
        <v>92</v>
      </c>
      <c r="B14" s="7" t="s">
        <v>82</v>
      </c>
      <c r="C14" s="8" t="s">
        <v>93</v>
      </c>
      <c r="D14" s="7" t="s">
        <v>88</v>
      </c>
      <c r="E14" s="8" t="s">
        <v>89</v>
      </c>
      <c r="F14" s="7"/>
      <c r="G14" s="10"/>
      <c r="H14" s="10"/>
      <c r="I14" s="10"/>
      <c r="J14" s="10"/>
      <c r="K14" s="12" t="s">
        <v>94</v>
      </c>
      <c r="L14" s="8"/>
      <c r="M14" s="12" t="s">
        <v>42</v>
      </c>
      <c r="N14" s="13" t="s">
        <v>68</v>
      </c>
      <c r="O14" s="14" t="n">
        <f aca="false">IF(OR(N14="",UPPER(N14)="NON"),5,IF(UPPER(N14)="OUI",K14,""))</f>
        <v>5</v>
      </c>
      <c r="P14" s="8" t="s">
        <v>95</v>
      </c>
    </row>
    <row r="15" customFormat="false" ht="15" hidden="false" customHeight="true" outlineLevel="0" collapsed="false">
      <c r="A15" s="7" t="s">
        <v>96</v>
      </c>
      <c r="B15" s="7" t="s">
        <v>82</v>
      </c>
      <c r="C15" s="8" t="s">
        <v>97</v>
      </c>
      <c r="D15" s="7" t="s">
        <v>88</v>
      </c>
      <c r="E15" s="8" t="s">
        <v>89</v>
      </c>
      <c r="F15" s="7"/>
      <c r="G15" s="10"/>
      <c r="H15" s="10"/>
      <c r="I15" s="10"/>
      <c r="J15" s="10"/>
      <c r="K15" s="12" t="s">
        <v>98</v>
      </c>
      <c r="L15" s="8"/>
      <c r="M15" s="12" t="s">
        <v>42</v>
      </c>
      <c r="N15" s="13" t="s">
        <v>68</v>
      </c>
      <c r="O15" s="14" t="n">
        <f aca="false">IF(OR(N15="",UPPER(N15)="NON"),5,IF(UPPER(N15)="OUI",K15,""))</f>
        <v>5</v>
      </c>
      <c r="P15" s="8" t="s">
        <v>99</v>
      </c>
    </row>
    <row r="16" customFormat="false" ht="15" hidden="false" customHeight="true" outlineLevel="0" collapsed="false">
      <c r="A16" s="7" t="s">
        <v>100</v>
      </c>
      <c r="B16" s="7" t="s">
        <v>101</v>
      </c>
      <c r="C16" s="8" t="s">
        <v>102</v>
      </c>
      <c r="D16" s="7" t="s">
        <v>88</v>
      </c>
      <c r="E16" s="8" t="s">
        <v>89</v>
      </c>
      <c r="F16" s="7"/>
      <c r="G16" s="10"/>
      <c r="H16" s="10"/>
      <c r="I16" s="10"/>
      <c r="J16" s="10"/>
      <c r="K16" s="12" t="s">
        <v>90</v>
      </c>
      <c r="L16" s="8"/>
      <c r="M16" s="12" t="s">
        <v>42</v>
      </c>
      <c r="N16" s="13" t="s">
        <v>68</v>
      </c>
      <c r="O16" s="14" t="n">
        <f aca="false">IF(OR(N16="",UPPER(N16)="NON"),5,IF(UPPER(N16)="OUI",K16,""))</f>
        <v>5</v>
      </c>
      <c r="P16" s="8" t="s">
        <v>91</v>
      </c>
    </row>
    <row r="17" customFormat="false" ht="15" hidden="false" customHeight="true" outlineLevel="0" collapsed="false">
      <c r="A17" s="7" t="s">
        <v>103</v>
      </c>
      <c r="B17" s="7" t="s">
        <v>101</v>
      </c>
      <c r="C17" s="8" t="s">
        <v>104</v>
      </c>
      <c r="D17" s="7" t="s">
        <v>88</v>
      </c>
      <c r="E17" s="8" t="s">
        <v>89</v>
      </c>
      <c r="F17" s="7"/>
      <c r="G17" s="10"/>
      <c r="H17" s="10"/>
      <c r="I17" s="10"/>
      <c r="J17" s="10"/>
      <c r="K17" s="12" t="s">
        <v>105</v>
      </c>
      <c r="L17" s="8"/>
      <c r="M17" s="12" t="s">
        <v>42</v>
      </c>
      <c r="N17" s="13" t="s">
        <v>68</v>
      </c>
      <c r="O17" s="14" t="n">
        <f aca="false">IF(OR(N17="",UPPER(N17)="NON"),5,IF(UPPER(N17)="OUI",K17,""))</f>
        <v>5</v>
      </c>
      <c r="P17" s="8" t="s">
        <v>106</v>
      </c>
    </row>
    <row r="18" customFormat="false" ht="23.25" hidden="false" customHeight="true" outlineLevel="0" collapsed="false">
      <c r="A18" s="7" t="s">
        <v>107</v>
      </c>
      <c r="B18" s="7" t="s">
        <v>108</v>
      </c>
      <c r="C18" s="8" t="s">
        <v>109</v>
      </c>
      <c r="D18" s="7" t="s">
        <v>88</v>
      </c>
      <c r="E18" s="8" t="s">
        <v>89</v>
      </c>
      <c r="F18" s="7"/>
      <c r="G18" s="10"/>
      <c r="H18" s="10"/>
      <c r="I18" s="10"/>
      <c r="J18" s="10"/>
      <c r="K18" s="12" t="s">
        <v>98</v>
      </c>
      <c r="L18" s="8"/>
      <c r="M18" s="12" t="s">
        <v>42</v>
      </c>
      <c r="N18" s="13" t="s">
        <v>68</v>
      </c>
      <c r="O18" s="14" t="n">
        <f aca="false">IF(OR(N18="",UPPER(N18)="NON"),5,IF(UPPER(N18)="OUI",K18,""))</f>
        <v>5</v>
      </c>
      <c r="P18" s="8" t="s">
        <v>110</v>
      </c>
    </row>
    <row r="19" customFormat="false" ht="15" hidden="false" customHeight="true" outlineLevel="0" collapsed="false">
      <c r="A19" s="7" t="s">
        <v>111</v>
      </c>
      <c r="B19" s="7" t="s">
        <v>112</v>
      </c>
      <c r="C19" s="8" t="s">
        <v>113</v>
      </c>
      <c r="D19" s="7" t="s">
        <v>88</v>
      </c>
      <c r="E19" s="8" t="s">
        <v>89</v>
      </c>
      <c r="F19" s="7"/>
      <c r="G19" s="10"/>
      <c r="H19" s="10"/>
      <c r="I19" s="10"/>
      <c r="J19" s="10"/>
      <c r="K19" s="12" t="s">
        <v>98</v>
      </c>
      <c r="L19" s="8"/>
      <c r="M19" s="12" t="s">
        <v>42</v>
      </c>
      <c r="N19" s="13" t="s">
        <v>68</v>
      </c>
      <c r="O19" s="14" t="n">
        <f aca="false">IF(OR(N19="",UPPER(N19)="NON"),5,IF(UPPER(N19)="OUI",K19,""))</f>
        <v>5</v>
      </c>
      <c r="P19" s="8" t="s">
        <v>114</v>
      </c>
    </row>
    <row r="20" customFormat="false" ht="15" hidden="false" customHeight="true" outlineLevel="0" collapsed="false">
      <c r="A20" s="7" t="s">
        <v>115</v>
      </c>
      <c r="B20" s="7" t="s">
        <v>116</v>
      </c>
      <c r="C20" s="8" t="s">
        <v>117</v>
      </c>
      <c r="D20" s="7" t="s">
        <v>88</v>
      </c>
      <c r="E20" s="8" t="s">
        <v>89</v>
      </c>
      <c r="F20" s="7"/>
      <c r="G20" s="10"/>
      <c r="H20" s="10"/>
      <c r="I20" s="10"/>
      <c r="J20" s="10"/>
      <c r="K20" s="12" t="s">
        <v>98</v>
      </c>
      <c r="L20" s="8"/>
      <c r="M20" s="12" t="s">
        <v>42</v>
      </c>
      <c r="N20" s="13" t="s">
        <v>68</v>
      </c>
      <c r="O20" s="14" t="n">
        <f aca="false">IF(OR(N20="",UPPER(N20)="NON"),5,IF(UPPER(N20)="OUI",K20,""))</f>
        <v>5</v>
      </c>
      <c r="P20" s="8" t="s">
        <v>114</v>
      </c>
    </row>
    <row r="21" customFormat="false" ht="15" hidden="false" customHeight="true" outlineLevel="0" collapsed="false">
      <c r="A21" s="7" t="s">
        <v>118</v>
      </c>
      <c r="B21" s="7" t="s">
        <v>119</v>
      </c>
      <c r="C21" s="8" t="s">
        <v>120</v>
      </c>
      <c r="D21" s="7" t="s">
        <v>88</v>
      </c>
      <c r="E21" s="8" t="s">
        <v>89</v>
      </c>
      <c r="F21" s="7"/>
      <c r="G21" s="10"/>
      <c r="H21" s="10"/>
      <c r="I21" s="10"/>
      <c r="J21" s="10"/>
      <c r="K21" s="12" t="s">
        <v>98</v>
      </c>
      <c r="L21" s="8"/>
      <c r="M21" s="12" t="s">
        <v>42</v>
      </c>
      <c r="N21" s="13" t="s">
        <v>68</v>
      </c>
      <c r="O21" s="14" t="n">
        <f aca="false">IF(OR(N21="",UPPER(N21)="NON"),5,IF(UPPER(N21)="OUI",K21,""))</f>
        <v>5</v>
      </c>
      <c r="P21" s="8" t="s">
        <v>121</v>
      </c>
    </row>
    <row r="22" customFormat="false" ht="15" hidden="false" customHeight="true" outlineLevel="0" collapsed="false">
      <c r="A22" s="7" t="s">
        <v>122</v>
      </c>
      <c r="B22" s="7" t="s">
        <v>123</v>
      </c>
      <c r="C22" s="8" t="s">
        <v>124</v>
      </c>
      <c r="D22" s="7" t="s">
        <v>88</v>
      </c>
      <c r="E22" s="8" t="s">
        <v>89</v>
      </c>
      <c r="F22" s="7"/>
      <c r="G22" s="10"/>
      <c r="H22" s="10"/>
      <c r="I22" s="10"/>
      <c r="J22" s="10"/>
      <c r="K22" s="12" t="s">
        <v>98</v>
      </c>
      <c r="L22" s="8"/>
      <c r="M22" s="12" t="s">
        <v>42</v>
      </c>
      <c r="N22" s="13" t="s">
        <v>68</v>
      </c>
      <c r="O22" s="14" t="n">
        <f aca="false">IF(OR(N22="",UPPER(N22)="NON"),5,IF(UPPER(N22)="OUI",K22,""))</f>
        <v>5</v>
      </c>
      <c r="P22" s="8" t="s">
        <v>114</v>
      </c>
    </row>
    <row r="23" customFormat="false" ht="15" hidden="false" customHeight="true" outlineLevel="0" collapsed="false">
      <c r="A23" s="7" t="s">
        <v>125</v>
      </c>
      <c r="B23" s="7" t="s">
        <v>126</v>
      </c>
      <c r="C23" s="8" t="s">
        <v>127</v>
      </c>
      <c r="D23" s="7" t="s">
        <v>88</v>
      </c>
      <c r="E23" s="8" t="s">
        <v>89</v>
      </c>
      <c r="F23" s="7"/>
      <c r="G23" s="10"/>
      <c r="H23" s="10"/>
      <c r="I23" s="10"/>
      <c r="J23" s="10"/>
      <c r="K23" s="12" t="s">
        <v>105</v>
      </c>
      <c r="L23" s="8"/>
      <c r="M23" s="12" t="s">
        <v>42</v>
      </c>
      <c r="N23" s="13" t="s">
        <v>68</v>
      </c>
      <c r="O23" s="14" t="n">
        <f aca="false">IF(OR(N23="",UPPER(N23)="NON"),5,IF(UPPER(N23)="OUI",K23,""))</f>
        <v>5</v>
      </c>
      <c r="P23" s="8" t="s">
        <v>128</v>
      </c>
    </row>
    <row r="24" customFormat="false" ht="23.25" hidden="false" customHeight="true" outlineLevel="0" collapsed="false">
      <c r="A24" s="7" t="s">
        <v>129</v>
      </c>
      <c r="B24" s="7" t="s">
        <v>130</v>
      </c>
      <c r="C24" s="8" t="s">
        <v>131</v>
      </c>
      <c r="D24" s="7" t="s">
        <v>88</v>
      </c>
      <c r="E24" s="8" t="s">
        <v>89</v>
      </c>
      <c r="F24" s="7"/>
      <c r="G24" s="10"/>
      <c r="H24" s="10"/>
      <c r="I24" s="10"/>
      <c r="J24" s="10"/>
      <c r="K24" s="12" t="s">
        <v>98</v>
      </c>
      <c r="L24" s="8"/>
      <c r="M24" s="12" t="s">
        <v>42</v>
      </c>
      <c r="N24" s="13" t="s">
        <v>68</v>
      </c>
      <c r="O24" s="14" t="n">
        <f aca="false">IF(OR(N24="",UPPER(N24)="NON"),5,IF(UPPER(N24)="OUI",K24,""))</f>
        <v>5</v>
      </c>
      <c r="P24" s="8" t="s">
        <v>132</v>
      </c>
    </row>
    <row r="25" customFormat="false" ht="23.25" hidden="false" customHeight="true" outlineLevel="0" collapsed="false">
      <c r="A25" s="7" t="s">
        <v>133</v>
      </c>
      <c r="B25" s="7" t="s">
        <v>134</v>
      </c>
      <c r="C25" s="8" t="s">
        <v>135</v>
      </c>
      <c r="D25" s="7" t="s">
        <v>88</v>
      </c>
      <c r="E25" s="8" t="s">
        <v>89</v>
      </c>
      <c r="F25" s="7"/>
      <c r="G25" s="10"/>
      <c r="H25" s="10"/>
      <c r="I25" s="10"/>
      <c r="J25" s="10"/>
      <c r="K25" s="12" t="s">
        <v>90</v>
      </c>
      <c r="L25" s="8"/>
      <c r="M25" s="12" t="s">
        <v>42</v>
      </c>
      <c r="N25" s="13" t="s">
        <v>68</v>
      </c>
      <c r="O25" s="14" t="n">
        <f aca="false">IF(OR(N25="",UPPER(N25)="NON"),5,IF(UPPER(N25)="OUI",K25,""))</f>
        <v>5</v>
      </c>
      <c r="P25" s="8" t="s">
        <v>114</v>
      </c>
    </row>
    <row r="26" customFormat="false" ht="15" hidden="false" customHeight="true" outlineLevel="0" collapsed="false">
      <c r="A26" s="7" t="s">
        <v>136</v>
      </c>
      <c r="B26" s="7" t="s">
        <v>137</v>
      </c>
      <c r="C26" s="8" t="s">
        <v>138</v>
      </c>
      <c r="D26" s="7" t="s">
        <v>88</v>
      </c>
      <c r="E26" s="8" t="s">
        <v>89</v>
      </c>
      <c r="F26" s="7"/>
      <c r="G26" s="10"/>
      <c r="H26" s="10"/>
      <c r="I26" s="10"/>
      <c r="J26" s="10"/>
      <c r="K26" s="12" t="s">
        <v>90</v>
      </c>
      <c r="L26" s="8"/>
      <c r="M26" s="12" t="s">
        <v>42</v>
      </c>
      <c r="N26" s="13" t="s">
        <v>68</v>
      </c>
      <c r="O26" s="14" t="n">
        <f aca="false">IF(OR(N26="",UPPER(N26)="NON"),5,IF(UPPER(N26)="OUI",K26,""))</f>
        <v>5</v>
      </c>
      <c r="P26" s="8" t="s">
        <v>114</v>
      </c>
    </row>
    <row r="27" customFormat="false" ht="15" hidden="false" customHeight="true" outlineLevel="0" collapsed="false">
      <c r="A27" s="7" t="s">
        <v>139</v>
      </c>
      <c r="B27" s="7" t="s">
        <v>140</v>
      </c>
      <c r="C27" s="8" t="s">
        <v>141</v>
      </c>
      <c r="D27" s="7" t="s">
        <v>88</v>
      </c>
      <c r="E27" s="8" t="s">
        <v>89</v>
      </c>
      <c r="F27" s="7"/>
      <c r="G27" s="10"/>
      <c r="H27" s="10"/>
      <c r="I27" s="10"/>
      <c r="J27" s="10"/>
      <c r="K27" s="12" t="s">
        <v>90</v>
      </c>
      <c r="L27" s="8"/>
      <c r="M27" s="12" t="s">
        <v>42</v>
      </c>
      <c r="N27" s="13" t="s">
        <v>68</v>
      </c>
      <c r="O27" s="14" t="n">
        <f aca="false">IF(OR(N27="",UPPER(N27)="NON"),5,IF(UPPER(N27)="OUI",K27,""))</f>
        <v>5</v>
      </c>
      <c r="P27" s="8" t="s">
        <v>114</v>
      </c>
    </row>
    <row r="28" customFormat="false" ht="15" hidden="false" customHeight="true" outlineLevel="0" collapsed="false">
      <c r="A28" s="7" t="s">
        <v>142</v>
      </c>
      <c r="B28" s="7" t="s">
        <v>143</v>
      </c>
      <c r="C28" s="8" t="s">
        <v>144</v>
      </c>
      <c r="D28" s="7" t="s">
        <v>88</v>
      </c>
      <c r="E28" s="8" t="s">
        <v>89</v>
      </c>
      <c r="F28" s="7"/>
      <c r="G28" s="10"/>
      <c r="H28" s="10"/>
      <c r="I28" s="10"/>
      <c r="J28" s="10"/>
      <c r="K28" s="12" t="s">
        <v>105</v>
      </c>
      <c r="L28" s="8"/>
      <c r="M28" s="12" t="s">
        <v>42</v>
      </c>
      <c r="N28" s="13" t="s">
        <v>68</v>
      </c>
      <c r="O28" s="14" t="n">
        <f aca="false">IF(OR(N28="",UPPER(N28)="NON"),5,IF(UPPER(N28)="OUI",K28,""))</f>
        <v>5</v>
      </c>
      <c r="P28" s="8" t="s">
        <v>145</v>
      </c>
    </row>
    <row r="29" customFormat="false" ht="15" hidden="false" customHeight="true" outlineLevel="0" collapsed="false">
      <c r="A29" s="7" t="s">
        <v>146</v>
      </c>
      <c r="B29" s="7" t="s">
        <v>147</v>
      </c>
      <c r="C29" s="8" t="s">
        <v>148</v>
      </c>
      <c r="D29" s="7" t="s">
        <v>88</v>
      </c>
      <c r="E29" s="8" t="s">
        <v>89</v>
      </c>
      <c r="F29" s="7"/>
      <c r="G29" s="10"/>
      <c r="H29" s="10"/>
      <c r="I29" s="10"/>
      <c r="J29" s="10"/>
      <c r="K29" s="12" t="s">
        <v>90</v>
      </c>
      <c r="L29" s="8"/>
      <c r="M29" s="12" t="s">
        <v>42</v>
      </c>
      <c r="N29" s="13" t="s">
        <v>68</v>
      </c>
      <c r="O29" s="14" t="n">
        <f aca="false">IF(OR(N29="",UPPER(N29)="NON"),5,IF(UPPER(N29)="OUI",K29,""))</f>
        <v>5</v>
      </c>
      <c r="P29" s="8" t="s">
        <v>114</v>
      </c>
    </row>
    <row r="30" customFormat="false" ht="15" hidden="false" customHeight="true" outlineLevel="0" collapsed="false">
      <c r="A30" s="7" t="s">
        <v>149</v>
      </c>
      <c r="B30" s="7" t="s">
        <v>150</v>
      </c>
      <c r="C30" s="8" t="s">
        <v>151</v>
      </c>
      <c r="D30" s="7" t="s">
        <v>88</v>
      </c>
      <c r="E30" s="8" t="s">
        <v>89</v>
      </c>
      <c r="F30" s="7"/>
      <c r="G30" s="10"/>
      <c r="H30" s="10"/>
      <c r="I30" s="10"/>
      <c r="J30" s="10"/>
      <c r="K30" s="12" t="s">
        <v>94</v>
      </c>
      <c r="L30" s="8"/>
      <c r="M30" s="12" t="s">
        <v>42</v>
      </c>
      <c r="N30" s="13" t="s">
        <v>68</v>
      </c>
      <c r="O30" s="14" t="n">
        <f aca="false">IF(OR(N30="",UPPER(N30)="NON"),5,IF(UPPER(N30)="OUI",K30,""))</f>
        <v>5</v>
      </c>
      <c r="P30" s="8" t="s">
        <v>152</v>
      </c>
    </row>
  </sheetData>
  <dataValidations count="2">
    <dataValidation allowBlank="false" errorStyle="stop" operator="between" showDropDown="false" showErrorMessage="false" showInputMessage="false" sqref="D4:D30" type="list">
      <formula1>"haut,freqnum,freq,bin"</formula1>
      <formula2>0</formula2>
    </dataValidation>
    <dataValidation allowBlank="true" errorStyle="stop" operator="between" showDropDown="false" showErrorMessage="false" showInputMessage="false" sqref="M4:M3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14"/>
  </cols>
  <sheetData>
    <row r="1" customFormat="false" ht="18" hidden="false" customHeight="true" outlineLevel="0" collapsed="false">
      <c r="A1" s="2" t="s">
        <v>153</v>
      </c>
    </row>
    <row r="2" customFormat="false" ht="15" hidden="false" customHeight="true" outlineLevel="0" collapsed="false">
      <c r="A2" s="3" t="s">
        <v>154</v>
      </c>
    </row>
    <row r="4" customFormat="false" ht="15" hidden="false" customHeight="true" outlineLevel="0" collapsed="false">
      <c r="A4" s="15" t="s">
        <v>22</v>
      </c>
      <c r="B4" s="15" t="s">
        <v>155</v>
      </c>
      <c r="C4" s="15" t="s">
        <v>156</v>
      </c>
    </row>
    <row r="5" customFormat="false" ht="15" hidden="false" customHeight="true" outlineLevel="0" collapsed="false">
      <c r="A5" s="11" t="s">
        <v>38</v>
      </c>
      <c r="B5" s="11" t="s">
        <v>157</v>
      </c>
      <c r="C5" s="16" t="n">
        <v>5</v>
      </c>
    </row>
    <row r="6" customFormat="false" ht="15" hidden="false" customHeight="true" outlineLevel="0" collapsed="false">
      <c r="A6" s="11" t="s">
        <v>45</v>
      </c>
      <c r="B6" s="11" t="s">
        <v>158</v>
      </c>
      <c r="C6" s="16" t="n">
        <v>5</v>
      </c>
    </row>
    <row r="7" customFormat="false" ht="15" hidden="false" customHeight="true" outlineLevel="0" collapsed="false">
      <c r="A7" s="11" t="s">
        <v>53</v>
      </c>
      <c r="B7" s="11" t="s">
        <v>159</v>
      </c>
      <c r="C7" s="16" t="n">
        <v>4</v>
      </c>
    </row>
    <row r="8" customFormat="false" ht="15" hidden="false" customHeight="true" outlineLevel="0" collapsed="false">
      <c r="A8" s="11" t="s">
        <v>60</v>
      </c>
      <c r="B8" s="11" t="s">
        <v>160</v>
      </c>
      <c r="C8" s="16" t="n">
        <v>5</v>
      </c>
    </row>
    <row r="9" customFormat="false" ht="15" hidden="false" customHeight="true" outlineLevel="0" collapsed="false">
      <c r="A9" s="11" t="s">
        <v>71</v>
      </c>
      <c r="B9" s="11" t="s">
        <v>161</v>
      </c>
      <c r="C9" s="16" t="n">
        <v>4</v>
      </c>
    </row>
    <row r="10" customFormat="false" ht="15" hidden="false" customHeight="true" outlineLevel="0" collapsed="false">
      <c r="A10" s="11" t="s">
        <v>77</v>
      </c>
      <c r="B10" s="11" t="s">
        <v>162</v>
      </c>
      <c r="C10" s="16" t="n">
        <v>5</v>
      </c>
    </row>
    <row r="11" customFormat="false" ht="15" hidden="false" customHeight="true" outlineLevel="0" collapsed="false">
      <c r="A11" s="11" t="s">
        <v>82</v>
      </c>
      <c r="B11" s="11" t="s">
        <v>163</v>
      </c>
      <c r="C11" s="16" t="n">
        <v>5</v>
      </c>
    </row>
    <row r="12" customFormat="false" ht="15" hidden="false" customHeight="true" outlineLevel="0" collapsed="false">
      <c r="A12" s="11" t="s">
        <v>101</v>
      </c>
      <c r="B12" s="11" t="s">
        <v>164</v>
      </c>
      <c r="C12" s="16" t="n">
        <v>5</v>
      </c>
    </row>
    <row r="13" customFormat="false" ht="15" hidden="false" customHeight="true" outlineLevel="0" collapsed="false">
      <c r="A13" s="11" t="s">
        <v>165</v>
      </c>
      <c r="B13" s="11" t="s">
        <v>166</v>
      </c>
      <c r="C13" s="16" t="n">
        <v>5</v>
      </c>
    </row>
    <row r="15" customFormat="false" ht="15" hidden="false" customHeight="true" outlineLevel="0" collapsed="false">
      <c r="A15" s="4" t="s">
        <v>167</v>
      </c>
      <c r="B15" s="4" t="n">
        <f aca="false">PRODUCT(C5:C13)</f>
        <v>1250000</v>
      </c>
    </row>
    <row r="16" customFormat="false" ht="15" hidden="false" customHeight="true" outlineLevel="0" collapsed="false">
      <c r="A16" s="5" t="s">
        <v>168</v>
      </c>
      <c r="B16" s="5" t="n">
        <f aca="false">ROUND(B15^(1/9),2)</f>
        <v>4.76</v>
      </c>
    </row>
    <row r="17" customFormat="false" ht="15" hidden="false" customHeight="true" outlineLevel="0" collapsed="false">
      <c r="A17" s="5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4"/>
    <col collapsed="false" customWidth="true" hidden="false" outlineLevel="0" max="3" min="3" style="1" width="18"/>
  </cols>
  <sheetData>
    <row r="1" customFormat="false" ht="18" hidden="false" customHeight="true" outlineLevel="0" collapsed="false">
      <c r="A1" s="2" t="s">
        <v>170</v>
      </c>
    </row>
    <row r="2" customFormat="false" ht="15" hidden="false" customHeight="true" outlineLevel="0" collapsed="false">
      <c r="A2" s="3" t="s">
        <v>171</v>
      </c>
    </row>
    <row r="4" customFormat="false" ht="15" hidden="false" customHeight="true" outlineLevel="0" collapsed="false">
      <c r="A4" s="17" t="s">
        <v>22</v>
      </c>
      <c r="B4" s="17" t="s">
        <v>172</v>
      </c>
      <c r="C4" s="17" t="s">
        <v>173</v>
      </c>
    </row>
    <row r="5" customFormat="false" ht="15" hidden="false" customHeight="true" outlineLevel="0" collapsed="false">
      <c r="A5" s="8" t="s">
        <v>38</v>
      </c>
      <c r="B5" s="8" t="s">
        <v>37</v>
      </c>
      <c r="C5" s="8" t="s">
        <v>174</v>
      </c>
    </row>
    <row r="6" customFormat="false" ht="15" hidden="false" customHeight="true" outlineLevel="0" collapsed="false">
      <c r="A6" s="8" t="s">
        <v>45</v>
      </c>
      <c r="B6" s="8" t="s">
        <v>175</v>
      </c>
      <c r="C6" s="8" t="s">
        <v>174</v>
      </c>
    </row>
    <row r="7" customFormat="false" ht="15" hidden="false" customHeight="true" outlineLevel="0" collapsed="false">
      <c r="A7" s="8" t="s">
        <v>53</v>
      </c>
      <c r="B7" s="8" t="s">
        <v>52</v>
      </c>
      <c r="C7" s="8" t="s">
        <v>174</v>
      </c>
    </row>
    <row r="8" customFormat="false" ht="15" hidden="false" customHeight="true" outlineLevel="0" collapsed="false">
      <c r="A8" s="8" t="s">
        <v>60</v>
      </c>
      <c r="B8" s="8" t="s">
        <v>176</v>
      </c>
      <c r="C8" s="8" t="s">
        <v>174</v>
      </c>
    </row>
    <row r="9" customFormat="false" ht="15" hidden="false" customHeight="true" outlineLevel="0" collapsed="false">
      <c r="A9" s="8" t="s">
        <v>71</v>
      </c>
      <c r="B9" s="8" t="s">
        <v>70</v>
      </c>
      <c r="C9" s="8" t="s">
        <v>174</v>
      </c>
    </row>
    <row r="10" customFormat="false" ht="15" hidden="false" customHeight="true" outlineLevel="0" collapsed="false">
      <c r="A10" s="8" t="s">
        <v>77</v>
      </c>
      <c r="B10" s="8" t="s">
        <v>76</v>
      </c>
      <c r="C10" s="8" t="s">
        <v>174</v>
      </c>
    </row>
    <row r="11" customFormat="false" ht="23.25" hidden="false" customHeight="true" outlineLevel="0" collapsed="false">
      <c r="A11" s="8" t="s">
        <v>82</v>
      </c>
      <c r="B11" s="8" t="s">
        <v>177</v>
      </c>
      <c r="C11" s="8" t="s">
        <v>174</v>
      </c>
    </row>
    <row r="12" customFormat="false" ht="15" hidden="false" customHeight="true" outlineLevel="0" collapsed="false">
      <c r="A12" s="8" t="s">
        <v>101</v>
      </c>
      <c r="B12" s="8" t="s">
        <v>178</v>
      </c>
      <c r="C12" s="8" t="s">
        <v>174</v>
      </c>
    </row>
    <row r="13" customFormat="false" ht="23.25" hidden="false" customHeight="true" outlineLevel="0" collapsed="false">
      <c r="A13" s="8" t="s">
        <v>179</v>
      </c>
      <c r="B13" s="8" t="s">
        <v>180</v>
      </c>
      <c r="C13" s="8" t="s">
        <v>181</v>
      </c>
    </row>
    <row r="15" customFormat="false" ht="15" hidden="false" customHeight="true" outlineLevel="0" collapsed="false">
      <c r="A15" s="5" t="s">
        <v>182</v>
      </c>
      <c r="B15" s="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2026-07-08T12:32:17Z</dcterms:created>
  <dc:creator>openpyxl</dc:creator>
  <dc:description/>
  <dc:language>en-US</dc:language>
  <cp:lastModifiedBy/>
  <dcterms:modified xsi:type="dcterms:W3CDTF">2026-07-08T12:32:51Z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