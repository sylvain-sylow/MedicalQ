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Barème" sheetId="2" state="visible" r:id="rId4"/>
    <sheet name="Rubriqu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<sst xmlns="http://schemas.openxmlformats.org/spreadsheetml/2006/main" count="368" uniqueCount="192">
  <si>
    <t xml:space="preserve">Barème étoilé — medical.sylow.co</t>
  </si>
  <si>
    <t xml:space="preserve">Grille de scoring par question · éditable par le médecin conseil</t>
  </si>
  <si>
    <t xml:space="preserve">Principe</t>
  </si>
  <si>
    <t xml:space="preserve">5 étoiles = bonne santé   ·   1 étoile = santé la plus dégradée.</t>
  </si>
  <si>
    <t xml:space="preserve">Le score n'est JAMAIS montré à l'assuré : il n'apparaît que dans le rapport du médecin conseil.</t>
  </si>
  <si>
    <t xml:space="preserve">Comment lire la feuille « Barème »</t>
  </si>
  <si>
    <t xml:space="preserve">Chaque ligne = un indicateur (une question notée). Les colonnes 5★→1★ donnent les seuils.</t>
  </si>
  <si>
    <t xml:space="preserve">• Type numeric_haut_mauvais : plus la valeur est haute, plus la santé se dégrade (ex. IMC, tabac).</t>
  </si>
  <si>
    <t xml:space="preserve">   Le seuil de chaque étoile est la VALEUR MAXIMALE encore acceptée pour ce nombre d'étoiles.</t>
  </si>
  <si>
    <t xml:space="preserve">• Type numeric_bas_mauvais : plus la valeur est basse, plus c'est défavorable (rare).</t>
  </si>
  <si>
    <t xml:space="preserve">• Type binaire : NON déclaré = 5★ ; OUI déclaré = le nombre d'étoiles indiqué en colonne « OUI = ».</t>
  </si>
  <si>
    <t xml:space="preserve">• Type frequence / ordinal : chaque modalité (Jamais…Quotidien) porte un nombre d'étoiles.</t>
  </si>
  <si>
    <t xml:space="preserve">Règle de tolérance</t>
  </si>
  <si>
    <t xml:space="preserve">Une bande de +15 % au-dessus du seuil normal conserve les 5★.</t>
  </si>
  <si>
    <t xml:space="preserve">Exemple canonique IMC : 5★ jusqu'à 34,5 (= 30 × 1,15).</t>
  </si>
  <si>
    <t xml:space="preserve">Comment mettre à jour</t>
  </si>
  <si>
    <t xml:space="preserve">1. Modifiez uniquement les colonnes de seuils (F→J), « Tolérance % », « OUI = » et « Notes ».</t>
  </si>
  <si>
    <t xml:space="preserve">2. Les cellules surlignées en JAUNE sont à valider / compléter par le médecin conseil.</t>
  </si>
  <si>
    <t xml:space="preserve">3. Ne modifiez pas la colonne « Étoiles (test) » : c'est une formule de vérification.</t>
  </si>
  <si>
    <t xml:space="preserve">4. Saisissez une valeur d'essai dans « Valeur test » pour voir le nombre d'étoiles calculé.</t>
  </si>
  <si>
    <t xml:space="preserve">5. Enregistrez : ce fichier est la source du barème importée par l'application (versionnée).</t>
  </si>
  <si>
    <t xml:space="preserve">Agrégation (rappel, calculée par l'application, pas ici)</t>
  </si>
  <si>
    <t xml:space="preserve">Score d'une rubrique = MINIMUM des étoiles de ses indicateurs.</t>
  </si>
  <si>
    <t xml:space="preserve">Score global = MOYENNE GÉOMÉTRIQUE des scores de rubrique (échelle 1–5).</t>
  </si>
  <si>
    <t xml:space="preserve">Statut « À valider »</t>
  </si>
  <si>
    <t xml:space="preserve">Tant qu'un indicateur est « À valider = Oui », il est POSÉ à l'assuré mais sa contribution</t>
  </si>
  <si>
    <t xml:space="preserve">au score est suspendue dans l'application, jusqu'à validation médicale.</t>
  </si>
  <si>
    <t xml:space="preserve">Barème étoilé par question</t>
  </si>
  <si>
    <t xml:space="preserve">Éditez les seuils (jaune = à valider). Étoiles (test) se recalcule automatiquement.</t>
  </si>
  <si>
    <t xml:space="preserve">ID question</t>
  </si>
  <si>
    <t xml:space="preserve">Rubrique</t>
  </si>
  <si>
    <t xml:space="preserve">Libellé (langage courant)</t>
  </si>
  <si>
    <t xml:space="preserve">Type</t>
  </si>
  <si>
    <t xml:space="preserve">Unité / sens</t>
  </si>
  <si>
    <t xml:space="preserve">5★</t>
  </si>
  <si>
    <t xml:space="preserve">4★</t>
  </si>
  <si>
    <t xml:space="preserve">3★</t>
  </si>
  <si>
    <t xml:space="preserve">2★</t>
  </si>
  <si>
    <t xml:space="preserve">1★</t>
  </si>
  <si>
    <t xml:space="preserve">Tolérance %</t>
  </si>
  <si>
    <t xml:space="preserve">OUI =</t>
  </si>
  <si>
    <t xml:space="preserve">À valider</t>
  </si>
  <si>
    <t xml:space="preserve">Valeur test</t>
  </si>
  <si>
    <t xml:space="preserve">Étoiles (test)</t>
  </si>
  <si>
    <t xml:space="preserve">Notes</t>
  </si>
  <si>
    <t xml:space="preserve">N1_IMC</t>
  </si>
  <si>
    <t xml:space="preserve">Corpulence</t>
  </si>
  <si>
    <t xml:space="preserve">Votre taille et votre poids (IMC calculé)</t>
  </si>
  <si>
    <t xml:space="preserve">haut</t>
  </si>
  <si>
    <t xml:space="preserve">IMC (kg/m²) — haut défavorable</t>
  </si>
  <si>
    <t xml:space="preserve">Oui</t>
  </si>
  <si>
    <t xml:space="preserve">5★ = 30×1,15. Surpoids/obésité. Maigreur (IMC bas) à traiter séparément (voir N1_IMC_BAS).</t>
  </si>
  <si>
    <t xml:space="preserve">N1_IMC_BAS</t>
  </si>
  <si>
    <t xml:space="preserve">IMC — versant maigreur</t>
  </si>
  <si>
    <t xml:space="preserve">bas</t>
  </si>
  <si>
    <t xml:space="preserve">IMC (kg/m²) — bas défavorable</t>
  </si>
  <si>
    <t xml:space="preserve">Risque lié à la dénutrition. Seuils à valider par le médecin conseil.</t>
  </si>
  <si>
    <t xml:space="preserve">N1_POIDS_VAR</t>
  </si>
  <si>
    <t xml:space="preserve">Votre poids a-t-il varié de plus de 5 kg sur 12 mois ?</t>
  </si>
  <si>
    <t xml:space="preserve">bin</t>
  </si>
  <si>
    <t xml:space="preserve">Oui/Non</t>
  </si>
  <si>
    <t xml:space="preserve">3</t>
  </si>
  <si>
    <t xml:space="preserve">NON=5★. Variation involontaire = signal ; module médecin peut affiner.</t>
  </si>
  <si>
    <t xml:space="preserve">N1_TABAC</t>
  </si>
  <si>
    <t xml:space="preserve">Hygiène de vie</t>
  </si>
  <si>
    <t xml:space="preserve">Combien de cigarettes fumez-vous par jour ?</t>
  </si>
  <si>
    <t xml:space="preserve">cig/jour — haut défavorable</t>
  </si>
  <si>
    <t xml:space="preserve">Proposition. Distinguer non-fumeur / ancien fumeur si besoin.</t>
  </si>
  <si>
    <t xml:space="preserve">N1_ALCOOL</t>
  </si>
  <si>
    <t xml:space="preserve">Combien de verres d'alcool par jour ?</t>
  </si>
  <si>
    <t xml:space="preserve">verres/jour — haut défavorable</t>
  </si>
  <si>
    <t xml:space="preserve">1 verre standard ≈ 10 g. Convertir cl par type de boisson en verres.</t>
  </si>
  <si>
    <t xml:space="preserve">N1_STUP</t>
  </si>
  <si>
    <t xml:space="preserve">Usage de stupéfiants hors prescription ?</t>
  </si>
  <si>
    <t xml:space="preserve">2</t>
  </si>
  <si>
    <t xml:space="preserve">NON=5★. Nature/ancienneté affinées au niveau 3.</t>
  </si>
  <si>
    <t xml:space="preserve">N1_TA_SYS</t>
  </si>
  <si>
    <t xml:space="preserve">Cardio-vasculaire</t>
  </si>
  <si>
    <t xml:space="preserve">Tension artérielle habituelle — systolique</t>
  </si>
  <si>
    <t xml:space="preserve">mmHg — haut défavorable</t>
  </si>
  <si>
    <t xml:space="preserve">Auto-déclaration ; 5★≈140 (avec tolérance). À valider.</t>
  </si>
  <si>
    <t xml:space="preserve">N1_TA_DIA</t>
  </si>
  <si>
    <t xml:space="preserve">Tension artérielle habituelle — diastolique</t>
  </si>
  <si>
    <t xml:space="preserve">À valider par le médecin conseil.</t>
  </si>
  <si>
    <t xml:space="preserve">N1_ARRET</t>
  </si>
  <si>
    <t xml:space="preserve">Antécédents</t>
  </si>
  <si>
    <t xml:space="preserve">Arrêt(s) de travail &gt; 21 jours (fenêtre retenue) ?</t>
  </si>
  <si>
    <t xml:space="preserve">NON=5★. Motif/durée collectés en détail.</t>
  </si>
  <si>
    <t xml:space="preserve">N1_ALD100</t>
  </si>
  <si>
    <t xml:space="preserve">Prise en charge à 100 % (ALD) ?</t>
  </si>
  <si>
    <t xml:space="preserve">NON=5★. Pathologie ALD affine le score via sa rubrique.</t>
  </si>
  <si>
    <t xml:space="preserve">N1_INVAL</t>
  </si>
  <si>
    <t xml:space="preserve">Pension/rente d'invalidité ou AAH ?</t>
  </si>
  <si>
    <t xml:space="preserve">NON=5★. Taux/catégorie à préciser.</t>
  </si>
  <si>
    <t xml:space="preserve">N1_VIH_HEP</t>
  </si>
  <si>
    <t xml:space="preserve">Infectieux</t>
  </si>
  <si>
    <t xml:space="preserve">Sérologie VIH ou hépatite positive ?</t>
  </si>
  <si>
    <t xml:space="preserve">Oui/Non (positif)</t>
  </si>
  <si>
    <t xml:space="preserve">1</t>
  </si>
  <si>
    <t xml:space="preserve">NON=5★. Répondre OUI uniquement si résultat positif.</t>
  </si>
  <si>
    <t xml:space="preserve">N1_HOSPI_PREV</t>
  </si>
  <si>
    <t xml:space="preserve">Hospitalisation ou intervention programmée ?</t>
  </si>
  <si>
    <t xml:space="preserve">NON=5★.</t>
  </si>
  <si>
    <t xml:space="preserve">N2_INFECT</t>
  </si>
  <si>
    <t xml:space="preserve">Maladie infectieuse ou parasitaire déclarée ?</t>
  </si>
  <si>
    <t xml:space="preserve">NON=5★. Gravité affinée par le module niveau 3 (seuils 🔻).</t>
  </si>
  <si>
    <t xml:space="preserve">N2_ENDOC</t>
  </si>
  <si>
    <t xml:space="preserve">Endocrinien / métabolisme</t>
  </si>
  <si>
    <t xml:space="preserve">Diabète, thyroïde, cholestérol… déclaré ?</t>
  </si>
  <si>
    <t xml:space="preserve">NON=5★. Diabète : type/équilibre affinent le score.</t>
  </si>
  <si>
    <t xml:space="preserve">N2_SANG</t>
  </si>
  <si>
    <t xml:space="preserve">Sang</t>
  </si>
  <si>
    <t xml:space="preserve">Maladie du sang déclarée ?</t>
  </si>
  <si>
    <t xml:space="preserve">N2_PSY</t>
  </si>
  <si>
    <t xml:space="preserve">Psychiatrie</t>
  </si>
  <si>
    <t xml:space="preserve">Trouble psychique ou psychiatrique déclaré ?</t>
  </si>
  <si>
    <t xml:space="preserve">NON=5★. QUESTION SENSIBLE : ton neutre, pas de gamification.</t>
  </si>
  <si>
    <t xml:space="preserve">N2_SOMMEIL</t>
  </si>
  <si>
    <t xml:space="preserve">Sommeil</t>
  </si>
  <si>
    <t xml:space="preserve">Trouble du sommeil déclaré ?</t>
  </si>
  <si>
    <t xml:space="preserve">NON=5★. Apnée du sommeil : sévérité à affiner.</t>
  </si>
  <si>
    <t xml:space="preserve">N2_NEURO</t>
  </si>
  <si>
    <t xml:space="preserve">Neurologie / muscles</t>
  </si>
  <si>
    <t xml:space="preserve">Maladie neurologique ou musculaire déclarée ?</t>
  </si>
  <si>
    <t xml:space="preserve">N2_ORL_OPH</t>
  </si>
  <si>
    <t xml:space="preserve">ORL / yeux</t>
  </si>
  <si>
    <t xml:space="preserve">Affection ORL ou ophtalmologique déclarée ?</t>
  </si>
  <si>
    <t xml:space="preserve">4</t>
  </si>
  <si>
    <t xml:space="preserve">NON=5★. Souvent bénin ; à pondérer.</t>
  </si>
  <si>
    <t xml:space="preserve">N2_CARDIO</t>
  </si>
  <si>
    <t xml:space="preserve">Maladie cardio-vasculaire déclarée ?</t>
  </si>
  <si>
    <t xml:space="preserve">NON=5★. HTA traitée, coronaropathie… affinées.</t>
  </si>
  <si>
    <t xml:space="preserve">N2_RESP</t>
  </si>
  <si>
    <t xml:space="preserve">Respiratoire</t>
  </si>
  <si>
    <t xml:space="preserve">Maladie respiratoire déclarée ?</t>
  </si>
  <si>
    <t xml:space="preserve">NON=5★. Asthme : fréquence des crises.</t>
  </si>
  <si>
    <t xml:space="preserve">N2_DIGEST</t>
  </si>
  <si>
    <t xml:space="preserve">Digestif</t>
  </si>
  <si>
    <t xml:space="preserve">Maladie de l'appareil digestif déclarée ?</t>
  </si>
  <si>
    <t xml:space="preserve">NON=5★. Hépatite/cirrhose plus lourdes.</t>
  </si>
  <si>
    <t xml:space="preserve">N2_URO_GEN</t>
  </si>
  <si>
    <t xml:space="preserve">Urinaire / génital</t>
  </si>
  <si>
    <t xml:space="preserve">Affection urinaire ou génitale déclarée ?</t>
  </si>
  <si>
    <t xml:space="preserve">N2_PEAU</t>
  </si>
  <si>
    <t xml:space="preserve">Peau</t>
  </si>
  <si>
    <t xml:space="preserve">Maladie de la peau déclarée ?</t>
  </si>
  <si>
    <t xml:space="preserve">NON=5★. Généralement bénin.</t>
  </si>
  <si>
    <t xml:space="preserve">N2_OSTEO</t>
  </si>
  <si>
    <t xml:space="preserve">Ostéo-articulaire</t>
  </si>
  <si>
    <t xml:space="preserve">Douleurs/maladies des os et articulations déclarées ?</t>
  </si>
  <si>
    <t xml:space="preserve">NON=5★. Hernie discale, arthrose…</t>
  </si>
  <si>
    <t xml:space="preserve">N2_AUTOIMM</t>
  </si>
  <si>
    <t xml:space="preserve">Auto-immun / tumeurs</t>
  </si>
  <si>
    <t xml:space="preserve">Maladie inflammatoire, auto-immune ou tumeur déclarée ?</t>
  </si>
  <si>
    <t xml:space="preserve">NON=5★. Cancer : voir droit à l'oubli AERAS.</t>
  </si>
  <si>
    <t xml:space="preserve">MV_VOYAGE</t>
  </si>
  <si>
    <t xml:space="preserve">Modes de vie</t>
  </si>
  <si>
    <t xml:space="preserve">Séjours hors zone géographique de référence ?</t>
  </si>
  <si>
    <t xml:space="preserve">NON=5★. Destination/durée affinent.</t>
  </si>
  <si>
    <t xml:space="preserve">MV_AERIEN</t>
  </si>
  <si>
    <t xml:space="preserve">Pilote ou passager d'aéronef privé ?</t>
  </si>
  <si>
    <t xml:space="preserve">NON=5★. Questionnaire activité spécifique.</t>
  </si>
  <si>
    <t xml:space="preserve">MV_2ROUES</t>
  </si>
  <si>
    <t xml:space="preserve">Deux-roues motorisé pour vos déplacements ?</t>
  </si>
  <si>
    <t xml:space="preserve">NON=5★. Cylindrée/kilométrage.</t>
  </si>
  <si>
    <t xml:space="preserve">MV_SPORT</t>
  </si>
  <si>
    <t xml:space="preserve">Sport à risque (plongée, alpinisme, sports méca…) ?</t>
  </si>
  <si>
    <t xml:space="preserve">NON=5★. Niveau/compétition affinent.</t>
  </si>
  <si>
    <t xml:space="preserve">MV_DANGER</t>
  </si>
  <si>
    <t xml:space="preserve">Activité dangereuse ou profession à risque ?</t>
  </si>
  <si>
    <t xml:space="preserve">MV_ACT_PHYS</t>
  </si>
  <si>
    <t xml:space="preserve">Activité physique régulière ?</t>
  </si>
  <si>
    <t xml:space="preserve">freq</t>
  </si>
  <si>
    <t xml:space="preserve">Jamais/Occ./Rég./Quotidien</t>
  </si>
  <si>
    <t xml:space="preserve">Quotidien</t>
  </si>
  <si>
    <t xml:space="preserve">Régulier</t>
  </si>
  <si>
    <t xml:space="preserve">Occasionnel</t>
  </si>
  <si>
    <t xml:space="preserve">Jamais</t>
  </si>
  <si>
    <t xml:space="preserve">Modalités → étoiles. Jamais=2★, Occasionnel=3★, Régulier=4★, Quotidien=5★ (proposition).</t>
  </si>
  <si>
    <t xml:space="preserve">Rubriques &amp; agrégation</t>
  </si>
  <si>
    <t xml:space="preserve">Score rubrique = MIN des indicateurs · Score global = moyenne géométrique des rubriques</t>
  </si>
  <si>
    <t xml:space="preserve">Indicateurs rattachés (préfixes)</t>
  </si>
  <si>
    <t xml:space="preserve">Règle</t>
  </si>
  <si>
    <t xml:space="preserve">N1_IMC, N1_IMC_BAS, N1_POIDS_VAR</t>
  </si>
  <si>
    <t xml:space="preserve">MIN</t>
  </si>
  <si>
    <t xml:space="preserve">N1_TABAC, N1_ALCOOL, N1_STUP, MV_ACT_PHYS</t>
  </si>
  <si>
    <t xml:space="preserve">N1_TA_SYS, N1_TA_DIA, N2_CARDIO</t>
  </si>
  <si>
    <t xml:space="preserve">N1_ARRET, N1_ALD100, N1_INVAL, N1_HOSPI_PREV</t>
  </si>
  <si>
    <t xml:space="preserve">N1_VIH_HEP, N2_INFECT</t>
  </si>
  <si>
    <t xml:space="preserve">MV_VOYAGE, MV_AERIEN, MV_2ROUES, MV_SPORT, MV_DANGER</t>
  </si>
  <si>
    <t xml:space="preserve">Score global</t>
  </si>
  <si>
    <t xml:space="preserve">Moyenne géométrique des scores de rubrique — calculée par l'application, sur 1–5.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</si>
</sst>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0A2E5C"/>
      <name val="Arial"/>
      <family val="0"/>
      <charset val="1"/>
    </font>
    <font>
      <sz val="10"/>
      <color rgb="FF5B6472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C1C29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A2E5C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7E3DA"/>
      </left>
      <right style="thin">
        <color rgb="FFE7E3DA"/>
      </right>
      <top style="thin">
        <color rgb="FFE7E3DA"/>
      </top>
      <bottom style="thin">
        <color rgb="FFE7E3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3D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472"/>
      <rgbColor rgb="FF969696"/>
      <rgbColor rgb="FF0A2E5C"/>
      <rgbColor rgb="FF339966"/>
      <rgbColor rgb="FF003300"/>
      <rgbColor rgb="FF333300"/>
      <rgbColor rgb="FFCC1C29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</row>
    <row r="5" customFormat="false" ht="15" hidden="false" customHeight="false" outlineLevel="0" collapsed="false">
      <c r="A5" s="4" t="s">
        <v>2</v>
      </c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4" t="s">
        <v>5</v>
      </c>
    </row>
    <row r="10" customFormat="false" ht="15" hidden="false" customHeight="false" outlineLevel="0" collapsed="false">
      <c r="A10" s="3" t="s">
        <v>6</v>
      </c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3" t="s">
        <v>9</v>
      </c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3"/>
    </row>
    <row r="17" customFormat="false" ht="15" hidden="false" customHeight="false" outlineLevel="0" collapsed="false">
      <c r="A17" s="4" t="s">
        <v>12</v>
      </c>
    </row>
    <row r="18" customFormat="false" ht="15" hidden="false" customHeight="false" outlineLevel="0" collapsed="false">
      <c r="A18" s="3" t="s">
        <v>13</v>
      </c>
    </row>
    <row r="19" customFormat="false" ht="15" hidden="false" customHeight="false" outlineLevel="0" collapsed="false">
      <c r="A19" s="3" t="s">
        <v>14</v>
      </c>
    </row>
    <row r="20" customFormat="false" ht="15" hidden="false" customHeight="false" outlineLevel="0" collapsed="false">
      <c r="A20" s="3"/>
    </row>
    <row r="21" customFormat="false" ht="15" hidden="false" customHeight="false" outlineLevel="0" collapsed="false">
      <c r="A21" s="4" t="s">
        <v>15</v>
      </c>
    </row>
    <row r="22" customFormat="false" ht="15" hidden="false" customHeight="false" outlineLevel="0" collapsed="false">
      <c r="A22" s="3" t="s">
        <v>16</v>
      </c>
    </row>
    <row r="23" customFormat="false" ht="15" hidden="false" customHeight="false" outlineLevel="0" collapsed="false">
      <c r="A23" s="3" t="s">
        <v>17</v>
      </c>
    </row>
    <row r="24" customFormat="false" ht="15" hidden="false" customHeight="false" outlineLevel="0" collapsed="false">
      <c r="A24" s="3" t="s">
        <v>18</v>
      </c>
    </row>
    <row r="25" customFormat="false" ht="15" hidden="false" customHeight="false" outlineLevel="0" collapsed="false">
      <c r="A25" s="3" t="s">
        <v>19</v>
      </c>
    </row>
    <row r="26" customFormat="false" ht="15" hidden="false" customHeight="false" outlineLevel="0" collapsed="false">
      <c r="A26" s="3" t="s">
        <v>20</v>
      </c>
    </row>
    <row r="27" customFormat="false" ht="15" hidden="false" customHeight="false" outlineLevel="0" collapsed="false">
      <c r="A27" s="3"/>
    </row>
    <row r="28" customFormat="false" ht="15" hidden="false" customHeight="false" outlineLevel="0" collapsed="false">
      <c r="A28" s="4" t="s">
        <v>21</v>
      </c>
    </row>
    <row r="29" customFormat="false" ht="15" hidden="false" customHeight="false" outlineLevel="0" collapsed="false">
      <c r="A29" s="3" t="s">
        <v>22</v>
      </c>
    </row>
    <row r="30" customFormat="false" ht="15" hidden="false" customHeight="false" outlineLevel="0" collapsed="false">
      <c r="A30" s="3" t="s">
        <v>23</v>
      </c>
    </row>
    <row r="31" customFormat="false" ht="15" hidden="false" customHeight="false" outlineLevel="0" collapsed="false">
      <c r="A31" s="3"/>
    </row>
    <row r="32" customFormat="false" ht="15" hidden="false" customHeight="false" outlineLevel="0" collapsed="false">
      <c r="A32" s="4" t="s">
        <v>24</v>
      </c>
    </row>
    <row r="33" customFormat="false" ht="15" hidden="false" customHeight="false" outlineLevel="0" collapsed="false">
      <c r="A33" s="3" t="s">
        <v>25</v>
      </c>
    </row>
    <row r="34" customFormat="false" ht="15" hidden="false" customHeight="false" outlineLevel="0" collapsed="false">
      <c r="A34" s="3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10" min="6" style="0" width="8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52"/>
  </cols>
  <sheetData>
    <row r="1" customFormat="false" ht="18.55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3" customFormat="false" ht="23.85" hidden="false" customHeight="false" outlineLevel="0" collapsed="false">
      <c r="A3" s="5" t="s">
        <v>29</v>
      </c>
      <c r="B3" s="5" t="s">
        <v>30</v>
      </c>
      <c r="C3" s="5" t="s">
        <v>31</v>
      </c>
      <c r="D3" s="5" t="s">
        <v>32</v>
      </c>
      <c r="E3" s="5" t="s">
        <v>33</v>
      </c>
      <c r="F3" s="5" t="s">
        <v>34</v>
      </c>
      <c r="G3" s="5" t="s">
        <v>35</v>
      </c>
      <c r="H3" s="5" t="s">
        <v>36</v>
      </c>
      <c r="I3" s="5" t="s">
        <v>37</v>
      </c>
      <c r="J3" s="5" t="s">
        <v>38</v>
      </c>
      <c r="K3" s="5" t="s">
        <v>39</v>
      </c>
      <c r="L3" s="5" t="s">
        <v>40</v>
      </c>
      <c r="M3" s="5" t="s">
        <v>41</v>
      </c>
      <c r="N3" s="5" t="s">
        <v>42</v>
      </c>
      <c r="O3" s="5" t="s">
        <v>43</v>
      </c>
      <c r="P3" s="5" t="s">
        <v>44</v>
      </c>
    </row>
    <row r="4" customFormat="false" ht="23.85" hidden="false" customHeight="false" outlineLevel="0" collapsed="false">
      <c r="A4" s="6" t="s">
        <v>45</v>
      </c>
      <c r="B4" s="6" t="s">
        <v>46</v>
      </c>
      <c r="C4" s="7" t="s">
        <v>47</v>
      </c>
      <c r="D4" s="6" t="s">
        <v>48</v>
      </c>
      <c r="E4" s="7" t="s">
        <v>49</v>
      </c>
      <c r="F4" s="6" t="n">
        <v>34.5</v>
      </c>
      <c r="G4" s="6" t="n">
        <v>37</v>
      </c>
      <c r="H4" s="6" t="n">
        <v>40</v>
      </c>
      <c r="I4" s="6" t="n">
        <v>45</v>
      </c>
      <c r="J4" s="8"/>
      <c r="K4" s="6" t="n">
        <v>15</v>
      </c>
      <c r="L4" s="6"/>
      <c r="M4" s="8" t="s">
        <v>50</v>
      </c>
      <c r="N4" s="6" t="n">
        <v>33</v>
      </c>
      <c r="O4" s="9" t="n">
        <f aca="false">IF(N4="","",IF(N4&lt;=F4,5,IF(N4&lt;=G4,4,IF(N4&lt;=H4,3,IF(N4&lt;=I4,2,1)))))</f>
        <v>5</v>
      </c>
      <c r="P4" s="7" t="s">
        <v>51</v>
      </c>
    </row>
    <row r="5" customFormat="false" ht="23.85" hidden="false" customHeight="false" outlineLevel="0" collapsed="false">
      <c r="A5" s="6" t="s">
        <v>52</v>
      </c>
      <c r="B5" s="6" t="s">
        <v>46</v>
      </c>
      <c r="C5" s="7" t="s">
        <v>53</v>
      </c>
      <c r="D5" s="6" t="s">
        <v>54</v>
      </c>
      <c r="E5" s="7" t="s">
        <v>55</v>
      </c>
      <c r="F5" s="6" t="n">
        <v>18.5</v>
      </c>
      <c r="G5" s="6" t="n">
        <v>17</v>
      </c>
      <c r="H5" s="6" t="n">
        <v>16</v>
      </c>
      <c r="I5" s="6" t="n">
        <v>15</v>
      </c>
      <c r="J5" s="8"/>
      <c r="K5" s="6"/>
      <c r="L5" s="6"/>
      <c r="M5" s="8" t="s">
        <v>50</v>
      </c>
      <c r="N5" s="6" t="n">
        <v>19</v>
      </c>
      <c r="O5" s="9" t="n">
        <f aca="false">IF(N5="","",IF(N5&gt;=F5,5,IF(N5&gt;=G5,4,IF(N5&gt;=H5,3,IF(N5&gt;=I5,2,1)))))</f>
        <v>5</v>
      </c>
      <c r="P5" s="7" t="s">
        <v>56</v>
      </c>
    </row>
    <row r="6" customFormat="false" ht="23.85" hidden="false" customHeight="false" outlineLevel="0" collapsed="false">
      <c r="A6" s="6" t="s">
        <v>57</v>
      </c>
      <c r="B6" s="6" t="s">
        <v>46</v>
      </c>
      <c r="C6" s="7" t="s">
        <v>58</v>
      </c>
      <c r="D6" s="6" t="s">
        <v>59</v>
      </c>
      <c r="E6" s="7" t="s">
        <v>60</v>
      </c>
      <c r="F6" s="6"/>
      <c r="G6" s="6"/>
      <c r="H6" s="6"/>
      <c r="I6" s="6"/>
      <c r="J6" s="6"/>
      <c r="K6" s="6"/>
      <c r="L6" s="8" t="s">
        <v>61</v>
      </c>
      <c r="M6" s="8" t="s">
        <v>50</v>
      </c>
      <c r="N6" s="6"/>
      <c r="O6" s="9" t="n">
        <f aca="false">IF(OR(N6="",UPPER(N6)="NON"),5,IF(UPPER(N6)="OUI",L6,""))</f>
        <v>5</v>
      </c>
      <c r="P6" s="7" t="s">
        <v>62</v>
      </c>
    </row>
    <row r="7" customFormat="false" ht="15" hidden="false" customHeight="false" outlineLevel="0" collapsed="false">
      <c r="A7" s="6" t="s">
        <v>63</v>
      </c>
      <c r="B7" s="6" t="s">
        <v>64</v>
      </c>
      <c r="C7" s="7" t="s">
        <v>65</v>
      </c>
      <c r="D7" s="6" t="s">
        <v>48</v>
      </c>
      <c r="E7" s="7" t="s">
        <v>66</v>
      </c>
      <c r="F7" s="6" t="n">
        <v>0</v>
      </c>
      <c r="G7" s="6" t="n">
        <v>5</v>
      </c>
      <c r="H7" s="6" t="n">
        <v>15</v>
      </c>
      <c r="I7" s="6" t="n">
        <v>25</v>
      </c>
      <c r="J7" s="8"/>
      <c r="K7" s="6" t="n">
        <v>0</v>
      </c>
      <c r="L7" s="6"/>
      <c r="M7" s="8" t="s">
        <v>50</v>
      </c>
      <c r="N7" s="6" t="n">
        <v>10</v>
      </c>
      <c r="O7" s="9" t="n">
        <f aca="false">IF(N7="","",IF(N7&lt;=F7,5,IF(N7&lt;=G7,4,IF(N7&lt;=H7,3,IF(N7&lt;=I7,2,1)))))</f>
        <v>3</v>
      </c>
      <c r="P7" s="7" t="s">
        <v>67</v>
      </c>
    </row>
    <row r="8" customFormat="false" ht="23.85" hidden="false" customHeight="false" outlineLevel="0" collapsed="false">
      <c r="A8" s="6" t="s">
        <v>68</v>
      </c>
      <c r="B8" s="6" t="s">
        <v>64</v>
      </c>
      <c r="C8" s="7" t="s">
        <v>69</v>
      </c>
      <c r="D8" s="6" t="s">
        <v>48</v>
      </c>
      <c r="E8" s="7" t="s">
        <v>70</v>
      </c>
      <c r="F8" s="6" t="n">
        <v>1</v>
      </c>
      <c r="G8" s="6" t="n">
        <v>2</v>
      </c>
      <c r="H8" s="6" t="n">
        <v>3</v>
      </c>
      <c r="I8" s="6" t="n">
        <v>5</v>
      </c>
      <c r="J8" s="8"/>
      <c r="K8" s="6" t="n">
        <v>0</v>
      </c>
      <c r="L8" s="6"/>
      <c r="M8" s="8" t="s">
        <v>50</v>
      </c>
      <c r="N8" s="6" t="n">
        <v>2</v>
      </c>
      <c r="O8" s="9" t="n">
        <f aca="false">IF(N8="","",IF(N8&lt;=F8,5,IF(N8&lt;=G8,4,IF(N8&lt;=H8,3,IF(N8&lt;=I8,2,1)))))</f>
        <v>4</v>
      </c>
      <c r="P8" s="7" t="s">
        <v>71</v>
      </c>
    </row>
    <row r="9" customFormat="false" ht="15" hidden="false" customHeight="false" outlineLevel="0" collapsed="false">
      <c r="A9" s="6" t="s">
        <v>72</v>
      </c>
      <c r="B9" s="6" t="s">
        <v>64</v>
      </c>
      <c r="C9" s="7" t="s">
        <v>73</v>
      </c>
      <c r="D9" s="6" t="s">
        <v>59</v>
      </c>
      <c r="E9" s="7" t="s">
        <v>60</v>
      </c>
      <c r="F9" s="6"/>
      <c r="G9" s="6"/>
      <c r="H9" s="6"/>
      <c r="I9" s="6"/>
      <c r="J9" s="6"/>
      <c r="K9" s="6"/>
      <c r="L9" s="8" t="s">
        <v>74</v>
      </c>
      <c r="M9" s="8" t="s">
        <v>50</v>
      </c>
      <c r="N9" s="6"/>
      <c r="O9" s="9" t="n">
        <f aca="false">IF(OR(N9="",UPPER(N9)="NON"),5,IF(UPPER(N9)="OUI",L9,""))</f>
        <v>5</v>
      </c>
      <c r="P9" s="7" t="s">
        <v>75</v>
      </c>
    </row>
    <row r="10" customFormat="false" ht="15" hidden="false" customHeight="false" outlineLevel="0" collapsed="false">
      <c r="A10" s="6" t="s">
        <v>76</v>
      </c>
      <c r="B10" s="6" t="s">
        <v>77</v>
      </c>
      <c r="C10" s="7" t="s">
        <v>78</v>
      </c>
      <c r="D10" s="6" t="s">
        <v>48</v>
      </c>
      <c r="E10" s="7" t="s">
        <v>79</v>
      </c>
      <c r="F10" s="6" t="n">
        <v>140</v>
      </c>
      <c r="G10" s="6" t="n">
        <v>150</v>
      </c>
      <c r="H10" s="6" t="n">
        <v>160</v>
      </c>
      <c r="I10" s="6" t="n">
        <v>180</v>
      </c>
      <c r="J10" s="8"/>
      <c r="K10" s="6" t="n">
        <v>15</v>
      </c>
      <c r="L10" s="6"/>
      <c r="M10" s="8" t="s">
        <v>50</v>
      </c>
      <c r="N10" s="6" t="n">
        <v>135</v>
      </c>
      <c r="O10" s="9" t="n">
        <f aca="false">IF(N10="","",IF(N10&lt;=F10,5,IF(N10&lt;=G10,4,IF(N10&lt;=H10,3,IF(N10&lt;=I10,2,1)))))</f>
        <v>5</v>
      </c>
      <c r="P10" s="7" t="s">
        <v>80</v>
      </c>
    </row>
    <row r="11" customFormat="false" ht="15" hidden="false" customHeight="false" outlineLevel="0" collapsed="false">
      <c r="A11" s="6" t="s">
        <v>81</v>
      </c>
      <c r="B11" s="6" t="s">
        <v>77</v>
      </c>
      <c r="C11" s="7" t="s">
        <v>82</v>
      </c>
      <c r="D11" s="6" t="s">
        <v>48</v>
      </c>
      <c r="E11" s="7" t="s">
        <v>79</v>
      </c>
      <c r="F11" s="6" t="n">
        <v>90</v>
      </c>
      <c r="G11" s="6" t="n">
        <v>95</v>
      </c>
      <c r="H11" s="6" t="n">
        <v>100</v>
      </c>
      <c r="I11" s="6" t="n">
        <v>110</v>
      </c>
      <c r="J11" s="8"/>
      <c r="K11" s="6" t="n">
        <v>15</v>
      </c>
      <c r="L11" s="6"/>
      <c r="M11" s="8" t="s">
        <v>50</v>
      </c>
      <c r="N11" s="6" t="n">
        <v>85</v>
      </c>
      <c r="O11" s="9" t="n">
        <f aca="false">IF(N11="","",IF(N11&lt;=F11,5,IF(N11&lt;=G11,4,IF(N11&lt;=H11,3,IF(N11&lt;=I11,2,1)))))</f>
        <v>5</v>
      </c>
      <c r="P11" s="7" t="s">
        <v>83</v>
      </c>
    </row>
    <row r="12" customFormat="false" ht="15" hidden="false" customHeight="false" outlineLevel="0" collapsed="false">
      <c r="A12" s="6" t="s">
        <v>84</v>
      </c>
      <c r="B12" s="6" t="s">
        <v>85</v>
      </c>
      <c r="C12" s="7" t="s">
        <v>86</v>
      </c>
      <c r="D12" s="6" t="s">
        <v>59</v>
      </c>
      <c r="E12" s="7" t="s">
        <v>60</v>
      </c>
      <c r="F12" s="6"/>
      <c r="G12" s="6"/>
      <c r="H12" s="6"/>
      <c r="I12" s="6"/>
      <c r="J12" s="6"/>
      <c r="K12" s="6"/>
      <c r="L12" s="8" t="s">
        <v>61</v>
      </c>
      <c r="M12" s="8" t="s">
        <v>50</v>
      </c>
      <c r="N12" s="6"/>
      <c r="O12" s="9" t="n">
        <f aca="false">IF(OR(N12="",UPPER(N12)="NON"),5,IF(UPPER(N12)="OUI",L12,""))</f>
        <v>5</v>
      </c>
      <c r="P12" s="7" t="s">
        <v>87</v>
      </c>
    </row>
    <row r="13" customFormat="false" ht="15" hidden="false" customHeight="false" outlineLevel="0" collapsed="false">
      <c r="A13" s="6" t="s">
        <v>88</v>
      </c>
      <c r="B13" s="6" t="s">
        <v>85</v>
      </c>
      <c r="C13" s="7" t="s">
        <v>89</v>
      </c>
      <c r="D13" s="6" t="s">
        <v>59</v>
      </c>
      <c r="E13" s="7" t="s">
        <v>60</v>
      </c>
      <c r="F13" s="6"/>
      <c r="G13" s="6"/>
      <c r="H13" s="6"/>
      <c r="I13" s="6"/>
      <c r="J13" s="6"/>
      <c r="K13" s="6"/>
      <c r="L13" s="8" t="s">
        <v>74</v>
      </c>
      <c r="M13" s="8" t="s">
        <v>50</v>
      </c>
      <c r="N13" s="6"/>
      <c r="O13" s="9" t="n">
        <f aca="false">IF(OR(N13="",UPPER(N13)="NON"),5,IF(UPPER(N13)="OUI",L13,""))</f>
        <v>5</v>
      </c>
      <c r="P13" s="7" t="s">
        <v>90</v>
      </c>
    </row>
    <row r="14" customFormat="false" ht="15" hidden="false" customHeight="false" outlineLevel="0" collapsed="false">
      <c r="A14" s="6" t="s">
        <v>91</v>
      </c>
      <c r="B14" s="6" t="s">
        <v>85</v>
      </c>
      <c r="C14" s="7" t="s">
        <v>92</v>
      </c>
      <c r="D14" s="6" t="s">
        <v>59</v>
      </c>
      <c r="E14" s="7" t="s">
        <v>60</v>
      </c>
      <c r="F14" s="6"/>
      <c r="G14" s="6"/>
      <c r="H14" s="6"/>
      <c r="I14" s="6"/>
      <c r="J14" s="6"/>
      <c r="K14" s="6"/>
      <c r="L14" s="8" t="s">
        <v>74</v>
      </c>
      <c r="M14" s="8" t="s">
        <v>50</v>
      </c>
      <c r="N14" s="6"/>
      <c r="O14" s="9" t="n">
        <f aca="false">IF(OR(N14="",UPPER(N14)="NON"),5,IF(UPPER(N14)="OUI",L14,""))</f>
        <v>5</v>
      </c>
      <c r="P14" s="7" t="s">
        <v>93</v>
      </c>
    </row>
    <row r="15" customFormat="false" ht="15" hidden="false" customHeight="false" outlineLevel="0" collapsed="false">
      <c r="A15" s="6" t="s">
        <v>94</v>
      </c>
      <c r="B15" s="6" t="s">
        <v>95</v>
      </c>
      <c r="C15" s="7" t="s">
        <v>96</v>
      </c>
      <c r="D15" s="6" t="s">
        <v>59</v>
      </c>
      <c r="E15" s="7" t="s">
        <v>97</v>
      </c>
      <c r="F15" s="6"/>
      <c r="G15" s="6"/>
      <c r="H15" s="6"/>
      <c r="I15" s="6"/>
      <c r="J15" s="6"/>
      <c r="K15" s="6"/>
      <c r="L15" s="8" t="s">
        <v>98</v>
      </c>
      <c r="M15" s="8" t="s">
        <v>50</v>
      </c>
      <c r="N15" s="6"/>
      <c r="O15" s="9" t="n">
        <f aca="false">IF(OR(N15="",UPPER(N15)="NON"),5,IF(UPPER(N15)="OUI",L15,""))</f>
        <v>5</v>
      </c>
      <c r="P15" s="7" t="s">
        <v>99</v>
      </c>
    </row>
    <row r="16" customFormat="false" ht="15" hidden="false" customHeight="false" outlineLevel="0" collapsed="false">
      <c r="A16" s="6" t="s">
        <v>100</v>
      </c>
      <c r="B16" s="6" t="s">
        <v>85</v>
      </c>
      <c r="C16" s="7" t="s">
        <v>101</v>
      </c>
      <c r="D16" s="6" t="s">
        <v>59</v>
      </c>
      <c r="E16" s="7" t="s">
        <v>60</v>
      </c>
      <c r="F16" s="6"/>
      <c r="G16" s="6"/>
      <c r="H16" s="6"/>
      <c r="I16" s="6"/>
      <c r="J16" s="6"/>
      <c r="K16" s="6"/>
      <c r="L16" s="8" t="s">
        <v>61</v>
      </c>
      <c r="M16" s="8" t="s">
        <v>50</v>
      </c>
      <c r="N16" s="6"/>
      <c r="O16" s="9" t="n">
        <f aca="false">IF(OR(N16="",UPPER(N16)="NON"),5,IF(UPPER(N16)="OUI",L16,""))</f>
        <v>5</v>
      </c>
      <c r="P16" s="7" t="s">
        <v>102</v>
      </c>
    </row>
    <row r="17" customFormat="false" ht="15" hidden="false" customHeight="false" outlineLevel="0" collapsed="false">
      <c r="A17" s="6" t="s">
        <v>103</v>
      </c>
      <c r="B17" s="6" t="s">
        <v>95</v>
      </c>
      <c r="C17" s="7" t="s">
        <v>104</v>
      </c>
      <c r="D17" s="6" t="s">
        <v>59</v>
      </c>
      <c r="E17" s="7" t="s">
        <v>60</v>
      </c>
      <c r="F17" s="6"/>
      <c r="G17" s="6"/>
      <c r="H17" s="6"/>
      <c r="I17" s="6"/>
      <c r="J17" s="6"/>
      <c r="K17" s="6"/>
      <c r="L17" s="8" t="s">
        <v>61</v>
      </c>
      <c r="M17" s="8" t="s">
        <v>50</v>
      </c>
      <c r="N17" s="6"/>
      <c r="O17" s="9" t="n">
        <f aca="false">IF(OR(N17="",UPPER(N17)="NON"),5,IF(UPPER(N17)="OUI",L17,""))</f>
        <v>5</v>
      </c>
      <c r="P17" s="7" t="s">
        <v>105</v>
      </c>
    </row>
    <row r="18" customFormat="false" ht="15" hidden="false" customHeight="false" outlineLevel="0" collapsed="false">
      <c r="A18" s="6" t="s">
        <v>106</v>
      </c>
      <c r="B18" s="6" t="s">
        <v>107</v>
      </c>
      <c r="C18" s="7" t="s">
        <v>108</v>
      </c>
      <c r="D18" s="6" t="s">
        <v>59</v>
      </c>
      <c r="E18" s="7" t="s">
        <v>60</v>
      </c>
      <c r="F18" s="6"/>
      <c r="G18" s="6"/>
      <c r="H18" s="6"/>
      <c r="I18" s="6"/>
      <c r="J18" s="6"/>
      <c r="K18" s="6"/>
      <c r="L18" s="8" t="s">
        <v>74</v>
      </c>
      <c r="M18" s="8" t="s">
        <v>50</v>
      </c>
      <c r="N18" s="6"/>
      <c r="O18" s="9" t="n">
        <f aca="false">IF(OR(N18="",UPPER(N18)="NON"),5,IF(UPPER(N18)="OUI",L18,""))</f>
        <v>5</v>
      </c>
      <c r="P18" s="7" t="s">
        <v>109</v>
      </c>
    </row>
    <row r="19" customFormat="false" ht="15" hidden="false" customHeight="false" outlineLevel="0" collapsed="false">
      <c r="A19" s="6" t="s">
        <v>110</v>
      </c>
      <c r="B19" s="6" t="s">
        <v>111</v>
      </c>
      <c r="C19" s="7" t="s">
        <v>112</v>
      </c>
      <c r="D19" s="6" t="s">
        <v>59</v>
      </c>
      <c r="E19" s="7" t="s">
        <v>60</v>
      </c>
      <c r="F19" s="6"/>
      <c r="G19" s="6"/>
      <c r="H19" s="6"/>
      <c r="I19" s="6"/>
      <c r="J19" s="6"/>
      <c r="K19" s="6"/>
      <c r="L19" s="8" t="s">
        <v>74</v>
      </c>
      <c r="M19" s="8" t="s">
        <v>50</v>
      </c>
      <c r="N19" s="6"/>
      <c r="O19" s="9" t="n">
        <f aca="false">IF(OR(N19="",UPPER(N19)="NON"),5,IF(UPPER(N19)="OUI",L19,""))</f>
        <v>5</v>
      </c>
      <c r="P19" s="7" t="s">
        <v>102</v>
      </c>
    </row>
    <row r="20" customFormat="false" ht="23.85" hidden="false" customHeight="false" outlineLevel="0" collapsed="false">
      <c r="A20" s="6" t="s">
        <v>113</v>
      </c>
      <c r="B20" s="6" t="s">
        <v>114</v>
      </c>
      <c r="C20" s="7" t="s">
        <v>115</v>
      </c>
      <c r="D20" s="6" t="s">
        <v>59</v>
      </c>
      <c r="E20" s="7" t="s">
        <v>60</v>
      </c>
      <c r="F20" s="6"/>
      <c r="G20" s="6"/>
      <c r="H20" s="6"/>
      <c r="I20" s="6"/>
      <c r="J20" s="6"/>
      <c r="K20" s="6"/>
      <c r="L20" s="8" t="s">
        <v>74</v>
      </c>
      <c r="M20" s="8" t="s">
        <v>50</v>
      </c>
      <c r="N20" s="6"/>
      <c r="O20" s="9" t="n">
        <f aca="false">IF(OR(N20="",UPPER(N20)="NON"),5,IF(UPPER(N20)="OUI",L20,""))</f>
        <v>5</v>
      </c>
      <c r="P20" s="7" t="s">
        <v>116</v>
      </c>
    </row>
    <row r="21" customFormat="false" ht="15" hidden="false" customHeight="false" outlineLevel="0" collapsed="false">
      <c r="A21" s="6" t="s">
        <v>117</v>
      </c>
      <c r="B21" s="6" t="s">
        <v>118</v>
      </c>
      <c r="C21" s="7" t="s">
        <v>119</v>
      </c>
      <c r="D21" s="6" t="s">
        <v>59</v>
      </c>
      <c r="E21" s="7" t="s">
        <v>60</v>
      </c>
      <c r="F21" s="6"/>
      <c r="G21" s="6"/>
      <c r="H21" s="6"/>
      <c r="I21" s="6"/>
      <c r="J21" s="6"/>
      <c r="K21" s="6"/>
      <c r="L21" s="8" t="s">
        <v>61</v>
      </c>
      <c r="M21" s="8" t="s">
        <v>50</v>
      </c>
      <c r="N21" s="6"/>
      <c r="O21" s="9" t="n">
        <f aca="false">IF(OR(N21="",UPPER(N21)="NON"),5,IF(UPPER(N21)="OUI",L21,""))</f>
        <v>5</v>
      </c>
      <c r="P21" s="7" t="s">
        <v>120</v>
      </c>
    </row>
    <row r="22" customFormat="false" ht="15" hidden="false" customHeight="false" outlineLevel="0" collapsed="false">
      <c r="A22" s="6" t="s">
        <v>121</v>
      </c>
      <c r="B22" s="6" t="s">
        <v>122</v>
      </c>
      <c r="C22" s="7" t="s">
        <v>123</v>
      </c>
      <c r="D22" s="6" t="s">
        <v>59</v>
      </c>
      <c r="E22" s="7" t="s">
        <v>60</v>
      </c>
      <c r="F22" s="6"/>
      <c r="G22" s="6"/>
      <c r="H22" s="6"/>
      <c r="I22" s="6"/>
      <c r="J22" s="6"/>
      <c r="K22" s="6"/>
      <c r="L22" s="8" t="s">
        <v>74</v>
      </c>
      <c r="M22" s="8" t="s">
        <v>50</v>
      </c>
      <c r="N22" s="6"/>
      <c r="O22" s="9" t="n">
        <f aca="false">IF(OR(N22="",UPPER(N22)="NON"),5,IF(UPPER(N22)="OUI",L22,""))</f>
        <v>5</v>
      </c>
      <c r="P22" s="7" t="s">
        <v>102</v>
      </c>
    </row>
    <row r="23" customFormat="false" ht="15" hidden="false" customHeight="false" outlineLevel="0" collapsed="false">
      <c r="A23" s="6" t="s">
        <v>124</v>
      </c>
      <c r="B23" s="6" t="s">
        <v>125</v>
      </c>
      <c r="C23" s="7" t="s">
        <v>126</v>
      </c>
      <c r="D23" s="6" t="s">
        <v>59</v>
      </c>
      <c r="E23" s="7" t="s">
        <v>60</v>
      </c>
      <c r="F23" s="6"/>
      <c r="G23" s="6"/>
      <c r="H23" s="6"/>
      <c r="I23" s="6"/>
      <c r="J23" s="6"/>
      <c r="K23" s="6"/>
      <c r="L23" s="8" t="s">
        <v>127</v>
      </c>
      <c r="M23" s="8" t="s">
        <v>50</v>
      </c>
      <c r="N23" s="6"/>
      <c r="O23" s="9" t="n">
        <f aca="false">IF(OR(N23="",UPPER(N23)="NON"),5,IF(UPPER(N23)="OUI",L23,""))</f>
        <v>5</v>
      </c>
      <c r="P23" s="7" t="s">
        <v>128</v>
      </c>
    </row>
    <row r="24" customFormat="false" ht="15" hidden="false" customHeight="false" outlineLevel="0" collapsed="false">
      <c r="A24" s="6" t="s">
        <v>129</v>
      </c>
      <c r="B24" s="6" t="s">
        <v>77</v>
      </c>
      <c r="C24" s="7" t="s">
        <v>130</v>
      </c>
      <c r="D24" s="6" t="s">
        <v>59</v>
      </c>
      <c r="E24" s="7" t="s">
        <v>60</v>
      </c>
      <c r="F24" s="6"/>
      <c r="G24" s="6"/>
      <c r="H24" s="6"/>
      <c r="I24" s="6"/>
      <c r="J24" s="6"/>
      <c r="K24" s="6"/>
      <c r="L24" s="8" t="s">
        <v>74</v>
      </c>
      <c r="M24" s="8" t="s">
        <v>50</v>
      </c>
      <c r="N24" s="6"/>
      <c r="O24" s="9" t="n">
        <f aca="false">IF(OR(N24="",UPPER(N24)="NON"),5,IF(UPPER(N24)="OUI",L24,""))</f>
        <v>5</v>
      </c>
      <c r="P24" s="7" t="s">
        <v>131</v>
      </c>
    </row>
    <row r="25" customFormat="false" ht="15" hidden="false" customHeight="false" outlineLevel="0" collapsed="false">
      <c r="A25" s="6" t="s">
        <v>132</v>
      </c>
      <c r="B25" s="6" t="s">
        <v>133</v>
      </c>
      <c r="C25" s="7" t="s">
        <v>134</v>
      </c>
      <c r="D25" s="6" t="s">
        <v>59</v>
      </c>
      <c r="E25" s="7" t="s">
        <v>60</v>
      </c>
      <c r="F25" s="6"/>
      <c r="G25" s="6"/>
      <c r="H25" s="6"/>
      <c r="I25" s="6"/>
      <c r="J25" s="6"/>
      <c r="K25" s="6"/>
      <c r="L25" s="8" t="s">
        <v>61</v>
      </c>
      <c r="M25" s="8" t="s">
        <v>50</v>
      </c>
      <c r="N25" s="6"/>
      <c r="O25" s="9" t="n">
        <f aca="false">IF(OR(N25="",UPPER(N25)="NON"),5,IF(UPPER(N25)="OUI",L25,""))</f>
        <v>5</v>
      </c>
      <c r="P25" s="7" t="s">
        <v>135</v>
      </c>
    </row>
    <row r="26" customFormat="false" ht="15" hidden="false" customHeight="false" outlineLevel="0" collapsed="false">
      <c r="A26" s="6" t="s">
        <v>136</v>
      </c>
      <c r="B26" s="6" t="s">
        <v>137</v>
      </c>
      <c r="C26" s="7" t="s">
        <v>138</v>
      </c>
      <c r="D26" s="6" t="s">
        <v>59</v>
      </c>
      <c r="E26" s="7" t="s">
        <v>60</v>
      </c>
      <c r="F26" s="6"/>
      <c r="G26" s="6"/>
      <c r="H26" s="6"/>
      <c r="I26" s="6"/>
      <c r="J26" s="6"/>
      <c r="K26" s="6"/>
      <c r="L26" s="8" t="s">
        <v>61</v>
      </c>
      <c r="M26" s="8" t="s">
        <v>50</v>
      </c>
      <c r="N26" s="6"/>
      <c r="O26" s="9" t="n">
        <f aca="false">IF(OR(N26="",UPPER(N26)="NON"),5,IF(UPPER(N26)="OUI",L26,""))</f>
        <v>5</v>
      </c>
      <c r="P26" s="7" t="s">
        <v>139</v>
      </c>
    </row>
    <row r="27" customFormat="false" ht="15" hidden="false" customHeight="false" outlineLevel="0" collapsed="false">
      <c r="A27" s="6" t="s">
        <v>140</v>
      </c>
      <c r="B27" s="6" t="s">
        <v>141</v>
      </c>
      <c r="C27" s="7" t="s">
        <v>142</v>
      </c>
      <c r="D27" s="6" t="s">
        <v>59</v>
      </c>
      <c r="E27" s="7" t="s">
        <v>60</v>
      </c>
      <c r="F27" s="6"/>
      <c r="G27" s="6"/>
      <c r="H27" s="6"/>
      <c r="I27" s="6"/>
      <c r="J27" s="6"/>
      <c r="K27" s="6"/>
      <c r="L27" s="8" t="s">
        <v>61</v>
      </c>
      <c r="M27" s="8" t="s">
        <v>50</v>
      </c>
      <c r="N27" s="6"/>
      <c r="O27" s="9" t="n">
        <f aca="false">IF(OR(N27="",UPPER(N27)="NON"),5,IF(UPPER(N27)="OUI",L27,""))</f>
        <v>5</v>
      </c>
      <c r="P27" s="7" t="s">
        <v>102</v>
      </c>
    </row>
    <row r="28" customFormat="false" ht="15" hidden="false" customHeight="false" outlineLevel="0" collapsed="false">
      <c r="A28" s="6" t="s">
        <v>143</v>
      </c>
      <c r="B28" s="6" t="s">
        <v>144</v>
      </c>
      <c r="C28" s="7" t="s">
        <v>145</v>
      </c>
      <c r="D28" s="6" t="s">
        <v>59</v>
      </c>
      <c r="E28" s="7" t="s">
        <v>60</v>
      </c>
      <c r="F28" s="6"/>
      <c r="G28" s="6"/>
      <c r="H28" s="6"/>
      <c r="I28" s="6"/>
      <c r="J28" s="6"/>
      <c r="K28" s="6"/>
      <c r="L28" s="8" t="s">
        <v>127</v>
      </c>
      <c r="M28" s="8" t="s">
        <v>50</v>
      </c>
      <c r="N28" s="6"/>
      <c r="O28" s="9" t="n">
        <f aca="false">IF(OR(N28="",UPPER(N28)="NON"),5,IF(UPPER(N28)="OUI",L28,""))</f>
        <v>5</v>
      </c>
      <c r="P28" s="7" t="s">
        <v>146</v>
      </c>
    </row>
    <row r="29" customFormat="false" ht="23.85" hidden="false" customHeight="false" outlineLevel="0" collapsed="false">
      <c r="A29" s="6" t="s">
        <v>147</v>
      </c>
      <c r="B29" s="6" t="s">
        <v>148</v>
      </c>
      <c r="C29" s="7" t="s">
        <v>149</v>
      </c>
      <c r="D29" s="6" t="s">
        <v>59</v>
      </c>
      <c r="E29" s="7" t="s">
        <v>60</v>
      </c>
      <c r="F29" s="6"/>
      <c r="G29" s="6"/>
      <c r="H29" s="6"/>
      <c r="I29" s="6"/>
      <c r="J29" s="6"/>
      <c r="K29" s="6"/>
      <c r="L29" s="8" t="s">
        <v>61</v>
      </c>
      <c r="M29" s="8" t="s">
        <v>50</v>
      </c>
      <c r="N29" s="6"/>
      <c r="O29" s="9" t="n">
        <f aca="false">IF(OR(N29="",UPPER(N29)="NON"),5,IF(UPPER(N29)="OUI",L29,""))</f>
        <v>5</v>
      </c>
      <c r="P29" s="7" t="s">
        <v>150</v>
      </c>
    </row>
    <row r="30" customFormat="false" ht="23.85" hidden="false" customHeight="false" outlineLevel="0" collapsed="false">
      <c r="A30" s="6" t="s">
        <v>151</v>
      </c>
      <c r="B30" s="6" t="s">
        <v>152</v>
      </c>
      <c r="C30" s="7" t="s">
        <v>153</v>
      </c>
      <c r="D30" s="6" t="s">
        <v>59</v>
      </c>
      <c r="E30" s="7" t="s">
        <v>60</v>
      </c>
      <c r="F30" s="6"/>
      <c r="G30" s="6"/>
      <c r="H30" s="6"/>
      <c r="I30" s="6"/>
      <c r="J30" s="6"/>
      <c r="K30" s="6"/>
      <c r="L30" s="8" t="s">
        <v>98</v>
      </c>
      <c r="M30" s="8" t="s">
        <v>50</v>
      </c>
      <c r="N30" s="6"/>
      <c r="O30" s="9" t="n">
        <f aca="false">IF(OR(N30="",UPPER(N30)="NON"),5,IF(UPPER(N30)="OUI",L30,""))</f>
        <v>5</v>
      </c>
      <c r="P30" s="7" t="s">
        <v>154</v>
      </c>
    </row>
    <row r="31" customFormat="false" ht="15" hidden="false" customHeight="false" outlineLevel="0" collapsed="false">
      <c r="A31" s="6" t="s">
        <v>155</v>
      </c>
      <c r="B31" s="6" t="s">
        <v>156</v>
      </c>
      <c r="C31" s="7" t="s">
        <v>157</v>
      </c>
      <c r="D31" s="6" t="s">
        <v>59</v>
      </c>
      <c r="E31" s="7" t="s">
        <v>60</v>
      </c>
      <c r="F31" s="6"/>
      <c r="G31" s="6"/>
      <c r="H31" s="6"/>
      <c r="I31" s="6"/>
      <c r="J31" s="6"/>
      <c r="K31" s="6"/>
      <c r="L31" s="8" t="s">
        <v>127</v>
      </c>
      <c r="M31" s="8" t="s">
        <v>50</v>
      </c>
      <c r="N31" s="6"/>
      <c r="O31" s="9" t="n">
        <f aca="false">IF(OR(N31="",UPPER(N31)="NON"),5,IF(UPPER(N31)="OUI",L31,""))</f>
        <v>5</v>
      </c>
      <c r="P31" s="7" t="s">
        <v>158</v>
      </c>
    </row>
    <row r="32" customFormat="false" ht="15" hidden="false" customHeight="false" outlineLevel="0" collapsed="false">
      <c r="A32" s="6" t="s">
        <v>159</v>
      </c>
      <c r="B32" s="6" t="s">
        <v>156</v>
      </c>
      <c r="C32" s="7" t="s">
        <v>160</v>
      </c>
      <c r="D32" s="6" t="s">
        <v>59</v>
      </c>
      <c r="E32" s="7" t="s">
        <v>60</v>
      </c>
      <c r="F32" s="6"/>
      <c r="G32" s="6"/>
      <c r="H32" s="6"/>
      <c r="I32" s="6"/>
      <c r="J32" s="6"/>
      <c r="K32" s="6"/>
      <c r="L32" s="8" t="s">
        <v>61</v>
      </c>
      <c r="M32" s="8" t="s">
        <v>50</v>
      </c>
      <c r="N32" s="6"/>
      <c r="O32" s="9" t="n">
        <f aca="false">IF(OR(N32="",UPPER(N32)="NON"),5,IF(UPPER(N32)="OUI",L32,""))</f>
        <v>5</v>
      </c>
      <c r="P32" s="7" t="s">
        <v>161</v>
      </c>
    </row>
    <row r="33" customFormat="false" ht="15" hidden="false" customHeight="false" outlineLevel="0" collapsed="false">
      <c r="A33" s="6" t="s">
        <v>162</v>
      </c>
      <c r="B33" s="6" t="s">
        <v>156</v>
      </c>
      <c r="C33" s="7" t="s">
        <v>163</v>
      </c>
      <c r="D33" s="6" t="s">
        <v>59</v>
      </c>
      <c r="E33" s="7" t="s">
        <v>60</v>
      </c>
      <c r="F33" s="6"/>
      <c r="G33" s="6"/>
      <c r="H33" s="6"/>
      <c r="I33" s="6"/>
      <c r="J33" s="6"/>
      <c r="K33" s="6"/>
      <c r="L33" s="8" t="s">
        <v>127</v>
      </c>
      <c r="M33" s="8" t="s">
        <v>50</v>
      </c>
      <c r="N33" s="6"/>
      <c r="O33" s="9" t="n">
        <f aca="false">IF(OR(N33="",UPPER(N33)="NON"),5,IF(UPPER(N33)="OUI",L33,""))</f>
        <v>5</v>
      </c>
      <c r="P33" s="7" t="s">
        <v>164</v>
      </c>
    </row>
    <row r="34" customFormat="false" ht="23.85" hidden="false" customHeight="false" outlineLevel="0" collapsed="false">
      <c r="A34" s="6" t="s">
        <v>165</v>
      </c>
      <c r="B34" s="6" t="s">
        <v>156</v>
      </c>
      <c r="C34" s="7" t="s">
        <v>166</v>
      </c>
      <c r="D34" s="6" t="s">
        <v>59</v>
      </c>
      <c r="E34" s="7" t="s">
        <v>60</v>
      </c>
      <c r="F34" s="6"/>
      <c r="G34" s="6"/>
      <c r="H34" s="6"/>
      <c r="I34" s="6"/>
      <c r="J34" s="6"/>
      <c r="K34" s="6"/>
      <c r="L34" s="8" t="s">
        <v>61</v>
      </c>
      <c r="M34" s="8" t="s">
        <v>50</v>
      </c>
      <c r="N34" s="6"/>
      <c r="O34" s="9" t="n">
        <f aca="false">IF(OR(N34="",UPPER(N34)="NON"),5,IF(UPPER(N34)="OUI",L34,""))</f>
        <v>5</v>
      </c>
      <c r="P34" s="7" t="s">
        <v>167</v>
      </c>
    </row>
    <row r="35" customFormat="false" ht="15" hidden="false" customHeight="false" outlineLevel="0" collapsed="false">
      <c r="A35" s="6" t="s">
        <v>168</v>
      </c>
      <c r="B35" s="6" t="s">
        <v>156</v>
      </c>
      <c r="C35" s="7" t="s">
        <v>169</v>
      </c>
      <c r="D35" s="6" t="s">
        <v>59</v>
      </c>
      <c r="E35" s="7" t="s">
        <v>60</v>
      </c>
      <c r="F35" s="6"/>
      <c r="G35" s="6"/>
      <c r="H35" s="6"/>
      <c r="I35" s="6"/>
      <c r="J35" s="6"/>
      <c r="K35" s="6"/>
      <c r="L35" s="8" t="s">
        <v>61</v>
      </c>
      <c r="M35" s="8" t="s">
        <v>50</v>
      </c>
      <c r="N35" s="6"/>
      <c r="O35" s="9" t="n">
        <f aca="false">IF(OR(N35="",UPPER(N35)="NON"),5,IF(UPPER(N35)="OUI",L35,""))</f>
        <v>5</v>
      </c>
      <c r="P35" s="7" t="s">
        <v>102</v>
      </c>
    </row>
    <row r="36" customFormat="false" ht="23.85" hidden="false" customHeight="false" outlineLevel="0" collapsed="false">
      <c r="A36" s="6" t="s">
        <v>170</v>
      </c>
      <c r="B36" s="6" t="s">
        <v>64</v>
      </c>
      <c r="C36" s="7" t="s">
        <v>171</v>
      </c>
      <c r="D36" s="6" t="s">
        <v>172</v>
      </c>
      <c r="E36" s="7" t="s">
        <v>173</v>
      </c>
      <c r="F36" s="6" t="s">
        <v>174</v>
      </c>
      <c r="G36" s="6" t="s">
        <v>175</v>
      </c>
      <c r="H36" s="6" t="s">
        <v>176</v>
      </c>
      <c r="I36" s="6"/>
      <c r="J36" s="6" t="s">
        <v>177</v>
      </c>
      <c r="K36" s="6"/>
      <c r="L36" s="6"/>
      <c r="M36" s="8" t="s">
        <v>50</v>
      </c>
      <c r="N36" s="6" t="s">
        <v>175</v>
      </c>
      <c r="O36" s="9" t="n">
        <f aca="false">IFERROR(IF(N36="","",5-MATCH(N36,F36:J36,0)+1),"")</f>
        <v>4</v>
      </c>
      <c r="P36" s="7" t="s">
        <v>178</v>
      </c>
    </row>
  </sheetData>
  <dataValidations count="3">
    <dataValidation allowBlank="false" errorStyle="stop" operator="between" showDropDown="false" showErrorMessage="false" showInputMessage="false" sqref="D4:D36" type="list">
      <formula1>"haut,bas,bin,freq"</formula1>
      <formula2>0</formula2>
    </dataValidation>
    <dataValidation allowBlank="true" errorStyle="stop" operator="between" showDropDown="false" showErrorMessage="false" showInputMessage="false" sqref="M4:M36" type="list">
      <formula1>"Oui,Non"</formula1>
      <formula2>0</formula2>
    </dataValidation>
    <dataValidation allowBlank="true" errorStyle="stop" operator="between" showDropDown="false" showErrorMessage="false" showInputMessage="false" sqref="L4:L36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2"/>
    <col collapsed="false" customWidth="true" hidden="false" outlineLevel="0" max="3" min="3" style="0" width="10"/>
  </cols>
  <sheetData>
    <row r="1" customFormat="false" ht="18.55" hidden="false" customHeight="false" outlineLevel="0" collapsed="false">
      <c r="A1" s="1" t="s">
        <v>179</v>
      </c>
    </row>
    <row r="2" customFormat="false" ht="15" hidden="false" customHeight="false" outlineLevel="0" collapsed="false">
      <c r="A2" s="2" t="s">
        <v>180</v>
      </c>
    </row>
    <row r="4" customFormat="false" ht="15" hidden="false" customHeight="false" outlineLevel="0" collapsed="false">
      <c r="A4" s="10" t="s">
        <v>30</v>
      </c>
      <c r="B4" s="10" t="s">
        <v>181</v>
      </c>
      <c r="C4" s="10" t="s">
        <v>182</v>
      </c>
    </row>
    <row r="5" customFormat="false" ht="15" hidden="false" customHeight="false" outlineLevel="0" collapsed="false">
      <c r="A5" s="7" t="s">
        <v>46</v>
      </c>
      <c r="B5" s="7" t="s">
        <v>183</v>
      </c>
      <c r="C5" s="7" t="s">
        <v>184</v>
      </c>
    </row>
    <row r="6" customFormat="false" ht="15" hidden="false" customHeight="false" outlineLevel="0" collapsed="false">
      <c r="A6" s="7" t="s">
        <v>64</v>
      </c>
      <c r="B6" s="7" t="s">
        <v>185</v>
      </c>
      <c r="C6" s="7" t="s">
        <v>184</v>
      </c>
    </row>
    <row r="7" customFormat="false" ht="15" hidden="false" customHeight="false" outlineLevel="0" collapsed="false">
      <c r="A7" s="7" t="s">
        <v>77</v>
      </c>
      <c r="B7" s="7" t="s">
        <v>186</v>
      </c>
      <c r="C7" s="7" t="s">
        <v>184</v>
      </c>
    </row>
    <row r="8" customFormat="false" ht="15" hidden="false" customHeight="false" outlineLevel="0" collapsed="false">
      <c r="A8" s="7" t="s">
        <v>85</v>
      </c>
      <c r="B8" s="7" t="s">
        <v>187</v>
      </c>
      <c r="C8" s="7" t="s">
        <v>184</v>
      </c>
    </row>
    <row r="9" customFormat="false" ht="15" hidden="false" customHeight="false" outlineLevel="0" collapsed="false">
      <c r="A9" s="7" t="s">
        <v>95</v>
      </c>
      <c r="B9" s="7" t="s">
        <v>188</v>
      </c>
      <c r="C9" s="7" t="s">
        <v>184</v>
      </c>
    </row>
    <row r="10" customFormat="false" ht="15" hidden="false" customHeight="false" outlineLevel="0" collapsed="false">
      <c r="A10" s="7" t="s">
        <v>107</v>
      </c>
      <c r="B10" s="7" t="s">
        <v>106</v>
      </c>
      <c r="C10" s="7" t="s">
        <v>184</v>
      </c>
    </row>
    <row r="11" customFormat="false" ht="15" hidden="false" customHeight="false" outlineLevel="0" collapsed="false">
      <c r="A11" s="7" t="s">
        <v>111</v>
      </c>
      <c r="B11" s="7" t="s">
        <v>110</v>
      </c>
      <c r="C11" s="7" t="s">
        <v>184</v>
      </c>
    </row>
    <row r="12" customFormat="false" ht="15" hidden="false" customHeight="false" outlineLevel="0" collapsed="false">
      <c r="A12" s="7" t="s">
        <v>114</v>
      </c>
      <c r="B12" s="7" t="s">
        <v>113</v>
      </c>
      <c r="C12" s="7" t="s">
        <v>184</v>
      </c>
    </row>
    <row r="13" customFormat="false" ht="15" hidden="false" customHeight="false" outlineLevel="0" collapsed="false">
      <c r="A13" s="7" t="s">
        <v>118</v>
      </c>
      <c r="B13" s="7" t="s">
        <v>117</v>
      </c>
      <c r="C13" s="7" t="s">
        <v>184</v>
      </c>
    </row>
    <row r="14" customFormat="false" ht="15" hidden="false" customHeight="false" outlineLevel="0" collapsed="false">
      <c r="A14" s="7" t="s">
        <v>122</v>
      </c>
      <c r="B14" s="7" t="s">
        <v>121</v>
      </c>
      <c r="C14" s="7" t="s">
        <v>184</v>
      </c>
    </row>
    <row r="15" customFormat="false" ht="15" hidden="false" customHeight="false" outlineLevel="0" collapsed="false">
      <c r="A15" s="7" t="s">
        <v>125</v>
      </c>
      <c r="B15" s="7" t="s">
        <v>124</v>
      </c>
      <c r="C15" s="7" t="s">
        <v>184</v>
      </c>
    </row>
    <row r="16" customFormat="false" ht="15" hidden="false" customHeight="false" outlineLevel="0" collapsed="false">
      <c r="A16" s="7" t="s">
        <v>133</v>
      </c>
      <c r="B16" s="7" t="s">
        <v>132</v>
      </c>
      <c r="C16" s="7" t="s">
        <v>184</v>
      </c>
    </row>
    <row r="17" customFormat="false" ht="15" hidden="false" customHeight="false" outlineLevel="0" collapsed="false">
      <c r="A17" s="7" t="s">
        <v>137</v>
      </c>
      <c r="B17" s="7" t="s">
        <v>136</v>
      </c>
      <c r="C17" s="7" t="s">
        <v>184</v>
      </c>
    </row>
    <row r="18" customFormat="false" ht="15" hidden="false" customHeight="false" outlineLevel="0" collapsed="false">
      <c r="A18" s="7" t="s">
        <v>141</v>
      </c>
      <c r="B18" s="7" t="s">
        <v>140</v>
      </c>
      <c r="C18" s="7" t="s">
        <v>184</v>
      </c>
    </row>
    <row r="19" customFormat="false" ht="15" hidden="false" customHeight="false" outlineLevel="0" collapsed="false">
      <c r="A19" s="7" t="s">
        <v>144</v>
      </c>
      <c r="B19" s="7" t="s">
        <v>143</v>
      </c>
      <c r="C19" s="7" t="s">
        <v>184</v>
      </c>
    </row>
    <row r="20" customFormat="false" ht="15" hidden="false" customHeight="false" outlineLevel="0" collapsed="false">
      <c r="A20" s="7" t="s">
        <v>148</v>
      </c>
      <c r="B20" s="7" t="s">
        <v>147</v>
      </c>
      <c r="C20" s="7" t="s">
        <v>184</v>
      </c>
    </row>
    <row r="21" customFormat="false" ht="15" hidden="false" customHeight="false" outlineLevel="0" collapsed="false">
      <c r="A21" s="7" t="s">
        <v>152</v>
      </c>
      <c r="B21" s="7" t="s">
        <v>151</v>
      </c>
      <c r="C21" s="7" t="s">
        <v>184</v>
      </c>
    </row>
    <row r="22" customFormat="false" ht="23.85" hidden="false" customHeight="false" outlineLevel="0" collapsed="false">
      <c r="A22" s="7" t="s">
        <v>156</v>
      </c>
      <c r="B22" s="7" t="s">
        <v>189</v>
      </c>
      <c r="C22" s="7" t="s">
        <v>184</v>
      </c>
    </row>
    <row r="24" customFormat="false" ht="15" hidden="false" customHeight="false" outlineLevel="0" collapsed="false">
      <c r="A24" s="4" t="s">
        <v>190</v>
      </c>
      <c r="B24" s="3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2026-07-08T09:52:58Z</dcterms:created>
  <dc:creator>openpyxl</dc:creator>
  <dc:description/>
  <dc:language>en-US</dc:language>
  <cp:lastModifiedBy/>
  <dcterms:modified xsi:type="dcterms:W3CDTF">2026-07-08T09:52:58Z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